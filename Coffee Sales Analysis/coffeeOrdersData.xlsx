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cuments\Portfolio Projects\Excel project\Coffee\"/>
    </mc:Choice>
  </mc:AlternateContent>
  <xr:revisionPtr revIDLastSave="0" documentId="13_ncr:1_{E3559B0E-28B8-44A8-9508-F4CAFAF103F2}" xr6:coauthVersionLast="47" xr6:coauthVersionMax="47" xr10:uidLastSave="{00000000-0000-0000-0000-000000000000}"/>
  <bookViews>
    <workbookView xWindow="-110" yWindow="-110" windowWidth="19420" windowHeight="11020" firstSheet="1" activeTab="4" xr2:uid="{00000000-000D-0000-FFFF-FFFF00000000}"/>
  </bookViews>
  <sheets>
    <sheet name="orders" sheetId="17" r:id="rId1"/>
    <sheet name="customers" sheetId="13" r:id="rId2"/>
    <sheet name="products" sheetId="2" r:id="rId3"/>
    <sheet name="Analysis" sheetId="19" r:id="rId4"/>
    <sheet name="Dashboard" sheetId="20" r:id="rId5"/>
  </sheets>
  <definedNames>
    <definedName name="_xlnm._FilterDatabase" localSheetId="0" hidden="1">orders!$A$1:$M$1001</definedName>
    <definedName name="_xlnm._FilterDatabase" localSheetId="2" hidden="1">products!$A$1:$G$49</definedName>
    <definedName name="Slicer_Loyalty_Card">#N/A</definedName>
    <definedName name="Slicer_Months__Order_Date">#N/A</definedName>
    <definedName name="Slicer_Roast_type_name">#N/A</definedName>
    <definedName name="Slicer_Years__Order_Date">#N/A</definedName>
  </definedNames>
  <calcPr calcId="191028"/>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N4" i="19"/>
  <c r="M4"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<sst xmlns="http://schemas.openxmlformats.org/spreadsheetml/2006/main" count="11086" uniqueCount="6209">
  <si>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</si>
  <si>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</si>
  <si>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</si>
  <si>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</si>
  <si>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</si>
  <si>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</si>
  <si>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</si>
  <si>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</si>
  <si>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</si>
  <si>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</si>
  <si>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</si>
  <si>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</si>
  <si>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</si>
  <si>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</si>
  <si>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</si>
  <si>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</si>
  <si>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</si>
  <si>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</si>
  <si>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</si>
  <si>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</si>
  <si>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</si>
  <si>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</si>
  <si>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</si>
  <si>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</si>
  <si>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</si>
  <si>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</si>
  <si>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</si>
  <si>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</si>
  <si>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</si>
  <si>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</si>
  <si>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</si>
  <si>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</si>
  <si>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</si>
  <si>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</si>
  <si>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</si>
  <si>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</si>
  <si>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</si>
  <si>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</si>
  <si>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</si>
  <si>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</si>
  <si>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</si>
  <si>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</si>
  <si>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</si>
  <si>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</si>
  <si>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</si>
  <si>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</si>
  <si>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</si>
  <si>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</si>
  <si>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</si>
  <si>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</si>
  <si>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</si>
  <si>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</si>
  <si>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</si>
  <si>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</si>
  <si>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</si>
  <si>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</si>
  <si>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</si>
  <si>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</si>
  <si>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</si>
  <si>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</si>
  <si>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</si>
  <si>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</si>
  <si>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</si>
  <si>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</si>
  <si>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</si>
  <si>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</si>
  <si>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</si>
  <si>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</si>
  <si>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</si>
  <si>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</si>
  <si>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</si>
  <si>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</si>
  <si>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</si>
  <si>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</si>
  <si>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</si>
  <si>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</si>
  <si>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</si>
  <si>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</si>
  <si>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</si>
  <si>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</si>
  <si>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</si>
  <si>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</si>
  <si>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</si>
  <si>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</si>
  <si>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</si>
  <si>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</si>
  <si>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</si>
  <si>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</si>
  <si>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</si>
  <si>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</si>
  <si>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</si>
  <si>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</si>
  <si>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</si>
  <si>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</si>
  <si>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</si>
  <si>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</si>
  <si>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</si>
  <si>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</si>
  <si>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</si>
  <si>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</si>
  <si>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</si>
  <si>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</si>
  <si>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</si>
  <si>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</si>
  <si>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</si>
  <si>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</si>
  <si>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</si>
  <si>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</si>
  <si>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</si>
  <si>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</si>
  <si>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</si>
  <si>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</si>
  <si>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</si>
  <si>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</si>
  <si>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</si>
  <si>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</si>
  <si>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</si>
  <si>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</si>
  <si>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</si>
  <si>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</si>
  <si>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</si>
  <si>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</si>
  <si>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</si>
  <si>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</si>
  <si>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</si>
  <si>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</si>
  <si>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</si>
  <si>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</si>
  <si>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</si>
  <si>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</si>
  <si>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</si>
  <si>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</si>
  <si>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</si>
  <si>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</si>
  <si>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</si>
  <si>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</si>
  <si>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</si>
  <si>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</si>
  <si>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</si>
  <si>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</si>
  <si>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</si>
  <si>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</si>
  <si>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</si>
  <si>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</si>
  <si>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</si>
  <si>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</si>
  <si>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</si>
  <si>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</si>
  <si>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</si>
  <si>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</si>
  <si>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</si>
  <si>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</si>
  <si>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</si>
  <si>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</si>
  <si>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</si>
  <si>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</si>
  <si>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</si>
  <si>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</si>
  <si>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</si>
  <si>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</si>
  <si>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</si>
  <si>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</si>
  <si>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</si>
  <si>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</si>
  <si>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</si>
  <si>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</si>
  <si>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</si>
  <si>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</si>
  <si>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</si>
  <si>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</si>
  <si>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</si>
  <si>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</si>
  <si>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</si>
  <si>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</si>
  <si>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</si>
  <si>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</si>
  <si>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</si>
  <si>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</si>
  <si>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</si>
  <si>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</si>
  <si>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</si>
  <si>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</si>
  <si>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</si>
  <si>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</si>
  <si>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</si>
  <si>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</si>
  <si>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</si>
  <si>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</si>
  <si>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</si>
  <si>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</si>
  <si>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</si>
  <si>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</si>
  <si>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</si>
  <si>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</si>
  <si>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</si>
  <si>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</si>
  <si>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</si>
  <si>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</si>
  <si>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</si>
  <si>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</si>
  <si>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</si>
  <si>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</si>
  <si>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</si>
  <si>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</si>
  <si>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</si>
  <si>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</si>
  <si>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</si>
  <si>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</si>
  <si>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</si>
  <si>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</si>
  <si>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</si>
  <si>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</si>
  <si>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</si>
  <si>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</si>
  <si>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</si>
  <si>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</si>
  <si>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</si>
  <si>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</si>
  <si>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</si>
  <si>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</si>
  <si>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</si>
  <si>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</si>
  <si>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</si>
  <si>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</si>
  <si>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</si>
  <si>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</si>
  <si>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</si>
  <si>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</si>
  <si>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</si>
  <si>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</si>
  <si>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</si>
  <si>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</si>
  <si>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</si>
  <si>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</si>
  <si>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</si>
  <si>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</si>
  <si>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</si>
  <si>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</si>
  <si>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</si>
  <si>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</si>
  <si>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</si>
  <si>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</si>
  <si>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</si>
  <si>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</si>
  <si>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</si>
  <si>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</si>
  <si>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</si>
  <si>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</si>
  <si>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</si>
  <si>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</si>
  <si>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</si>
  <si>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</si>
  <si>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</si>
  <si>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</si>
  <si>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</si>
  <si>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</si>
  <si>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</si>
  <si>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</si>
  <si>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</si>
  <si>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</si>
  <si>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</si>
  <si>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</si>
  <si>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</si>
  <si>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</si>
  <si>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</si>
  <si>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</si>
  <si>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</si>
  <si>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</si>
  <si>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</si>
  <si>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</si>
  <si>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</si>
  <si>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</si>
  <si>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</si>
  <si>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</si>
  <si>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</si>
  <si>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</si>
  <si>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</si>
  <si>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</si>
  <si>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</si>
  <si>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</si>
  <si>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</si>
  <si>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</si>
  <si>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</si>
  <si>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</si>
  <si>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</si>
  <si>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</si>
  <si>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</si>
  <si>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</si>
  <si>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</si>
  <si>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</si>
  <si>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</si>
  <si>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</si>
  <si>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</si>
  <si>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</si>
  <si>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</si>
  <si>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</si>
  <si>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</si>
  <si>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</si>
  <si>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</si>
  <si>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</si>
  <si>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</si>
  <si>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</si>
  <si>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</si>
  <si>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</si>
  <si>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</si>
  <si>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</si>
  <si>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</si>
  <si>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</si>
  <si>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</si>
  <si>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</si>
  <si>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</si>
  <si>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</si>
  <si>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</si>
  <si>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</si>
  <si>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</si>
  <si>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</si>
  <si>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</si>
  <si>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</si>
  <si>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</si>
  <si>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</si>
  <si>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</si>
  <si>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</si>
  <si>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</si>
  <si>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</si>
  <si>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</si>
  <si>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</si>
  <si>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</si>
  <si>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</si>
  <si>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</si>
  <si>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</si>
  <si>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</si>
  <si>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</si>
  <si>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</si>
  <si>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</si>
  <si>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</si>
  <si>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</si>
  <si>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</si>
  <si>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</si>
  <si>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</si>
  <si>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</si>
  <si>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</si>
  <si>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</si>
  <si>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</si>
  <si>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</si>
  <si>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</si>
  <si>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</si>
  <si>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</si>
  <si>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</si>
  <si>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</si>
  <si>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</si>
  <si>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</si>
  <si>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</si>
  <si>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</si>
  <si>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</si>
  <si>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</si>
  <si>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</si>
  <si>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</si>
  <si>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</si>
  <si>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</si>
  <si>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</si>
  <si>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</si>
  <si>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</si>
  <si>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</si>
  <si>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</si>
  <si>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</si>
  <si>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</si>
  <si>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</si>
  <si>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</si>
  <si>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</si>
  <si>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</si>
  <si>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</si>
  <si>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</si>
  <si>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</si>
  <si>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</si>
  <si>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</si>
  <si>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</si>
  <si>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</si>
  <si>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</si>
  <si>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</si>
  <si>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</si>
  <si>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</si>
  <si>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</si>
  <si>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</si>
  <si>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</si>
  <si>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</si>
  <si>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</si>
  <si>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</si>
  <si>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</si>
  <si>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</si>
  <si>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</si>
  <si>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</si>
  <si>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</si>
  <si>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</si>
  <si>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</si>
  <si>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</si>
  <si>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</si>
  <si>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</si>
  <si>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</si>
  <si>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</si>
  <si>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</si>
  <si>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</si>
  <si>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</si>
  <si>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</si>
  <si>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</si>
  <si>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</si>
  <si>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</si>
  <si>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</si>
  <si>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</si>
  <si>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</si>
  <si>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</si>
  <si>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</si>
  <si>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</si>
  <si>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</si>
  <si>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</si>
  <si>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</si>
  <si>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</si>
  <si>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</si>
  <si>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</si>
  <si>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</si>
  <si>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</si>
  <si>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</si>
  <si>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</si>
  <si>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</si>
  <si>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</si>
  <si>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</si>
  <si>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</si>
  <si>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</si>
  <si>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</si>
  <si>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</si>
  <si>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</si>
  <si>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</si>
  <si>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</si>
  <si>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</si>
  <si>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</si>
  <si>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</si>
  <si>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</si>
  <si>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</si>
  <si>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</si>
  <si>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</si>
  <si>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</si>
  <si>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</si>
  <si>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</si>
  <si>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</si>
  <si>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</si>
  <si>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</si>
  <si>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</si>
  <si>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</si>
  <si>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</si>
  <si>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</si>
  <si>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</si>
  <si>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</si>
  <si>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</si>
  <si>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</si>
  <si>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</si>
  <si>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</si>
  <si>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</si>
  <si>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</si>
  <si>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</si>
  <si>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</si>
  <si>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</si>
  <si>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</si>
  <si>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</si>
  <si>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</si>
  <si>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</si>
  <si>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</si>
  <si>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</si>
  <si>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</si>
  <si>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</si>
  <si>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</si>
  <si>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</si>
  <si>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</si>
  <si>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</si>
  <si>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</si>
  <si>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</si>
  <si>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</si>
  <si>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</si>
  <si>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</si>
  <si>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</si>
  <si>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</si>
  <si>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</si>
  <si>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</si>
  <si>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</si>
  <si>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</si>
  <si>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</si>
  <si>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</si>
  <si>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</si>
  <si>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</si>
  <si>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</si>
  <si>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</si>
  <si>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</si>
  <si>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</si>
  <si>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</si>
  <si>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</si>
  <si>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</si>
  <si>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</si>
  <si>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</si>
  <si>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</si>
  <si>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</si>
  <si>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</si>
  <si>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</si>
  <si>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</si>
  <si>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</si>
  <si>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</si>
  <si>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</si>
  <si>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</si>
  <si>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</si>
  <si>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</si>
  <si>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</si>
  <si>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</si>
  <si>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</si>
  <si>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</si>
  <si>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</si>
  <si>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</si>
  <si>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</si>
  <si>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</si>
  <si>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</si>
  <si>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</si>
  <si>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</si>
  <si>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</si>
  <si>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</si>
  <si>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</si>
  <si>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</si>
  <si>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</si>
  <si>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</si>
  <si>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</si>
  <si>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</si>
  <si>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</si>
  <si>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</si>
  <si>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</si>
  <si>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</si>
  <si>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</si>
  <si>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</si>
  <si>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</si>
  <si>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</si>
  <si>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</si>
  <si>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</si>
  <si>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</si>
  <si>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</si>
  <si>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</si>
  <si>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</si>
  <si>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</si>
  <si>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</si>
  <si>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</si>
  <si>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</si>
  <si>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</si>
  <si>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</si>
  <si>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</si>
  <si>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</si>
  <si>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</si>
  <si>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</si>
  <si>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</si>
  <si>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</si>
  <si>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</si>
  <si>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</si>
  <si>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</si>
  <si>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</si>
  <si>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</si>
  <si>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</si>
  <si>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</si>
  <si>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</si>
  <si>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</si>
  <si>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</si>
  <si>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</si>
  <si>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</si>
  <si>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</si>
  <si>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</si>
  <si>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</si>
  <si>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</si>
  <si>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</si>
  <si>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</si>
  <si>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</si>
  <si>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</si>
  <si>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</si>
  <si>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</si>
  <si>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</si>
  <si>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</si>
  <si>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</si>
  <si>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</si>
  <si>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</si>
  <si>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</si>
  <si>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</si>
  <si>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</si>
  <si>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</si>
  <si>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</si>
  <si>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</si>
  <si>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</si>
  <si>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</si>
  <si>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</si>
  <si>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</si>
  <si>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</si>
  <si>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</si>
  <si>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</si>
  <si>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</si>
  <si>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</si>
  <si>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</si>
  <si>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</si>
  <si>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</si>
  <si>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</si>
  <si>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</si>
  <si>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</si>
  <si>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</si>
  <si>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</si>
  <si>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</si>
  <si>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</si>
  <si>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</si>
  <si>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</si>
  <si>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</si>
  <si>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</si>
  <si>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</si>
  <si>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</si>
  <si>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</si>
  <si>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</si>
  <si>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</si>
  <si>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</si>
  <si>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</si>
  <si>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</si>
  <si>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</si>
  <si>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</si>
  <si>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</si>
  <si>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</si>
  <si>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</si>
  <si>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</si>
  <si>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</si>
  <si>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</si>
  <si>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</si>
  <si>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</si>
  <si>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</si>
  <si>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</si>
  <si>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</si>
  <si>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</si>
  <si>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</si>
  <si>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</si>
  <si>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</si>
  <si>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</si>
  <si>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</si>
  <si>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</si>
  <si>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</si>
  <si>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</si>
  <si>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</si>
  <si>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</si>
  <si>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</si>
  <si>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</si>
  <si>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</si>
  <si>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</si>
  <si>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</si>
  <si>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</si>
  <si>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</si>
  <si>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</si>
  <si>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</si>
  <si>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</si>
  <si>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</si>
  <si>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</si>
  <si>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</si>
  <si>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</si>
  <si>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</si>
  <si>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</si>
  <si>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</si>
  <si>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</si>
  <si>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</si>
  <si>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</si>
  <si>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</si>
  <si>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</si>
  <si>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</si>
  <si>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</si>
  <si>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</si>
  <si>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</si>
  <si>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</si>
  <si>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</si>
  <si>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</si>
  <si>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</si>
  <si>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</si>
  <si>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</si>
  <si>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</si>
  <si>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</si>
  <si>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</si>
  <si>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</si>
  <si>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</si>
  <si>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</si>
  <si>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</si>
  <si>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</si>
  <si>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</si>
  <si>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</si>
  <si>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</si>
  <si>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</si>
  <si>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</si>
  <si>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</si>
  <si>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</si>
  <si>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</si>
  <si>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</si>
  <si>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</si>
  <si>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</si>
  <si>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</si>
  <si>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</si>
  <si>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</si>
  <si>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</si>
  <si>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</si>
  <si>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</si>
  <si>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</si>
  <si>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</si>
  <si>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</si>
  <si>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</si>
  <si>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</si>
  <si>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</si>
  <si>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</si>
  <si>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</si>
  <si>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</si>
  <si>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</si>
  <si>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</si>
  <si>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</si>
  <si>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</si>
  <si>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</si>
  <si>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</si>
  <si>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</si>
  <si>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</si>
  <si>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</si>
  <si>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</si>
  <si>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</si>
  <si>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</si>
  <si>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</si>
  <si>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</si>
  <si>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</si>
  <si>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</si>
  <si>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</si>
  <si>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</si>
  <si>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</si>
  <si>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</si>
  <si>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</si>
  <si>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</si>
  <si>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</si>
  <si>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</si>
  <si>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</si>
  <si>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</si>
  <si>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</si>
  <si>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</si>
  <si>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</si>
  <si>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</si>
  <si>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</si>
  <si>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</si>
  <si>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</si>
  <si>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</si>
  <si>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</si>
  <si>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</si>
  <si>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</si>
  <si>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</si>
  <si>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</si>
  <si>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</si>
  <si>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</si>
  <si>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</si>
  <si>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</si>
  <si>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</si>
  <si>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</si>
  <si>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</si>
  <si>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</si>
  <si>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</si>
  <si>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</si>
  <si>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</si>
  <si>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</si>
  <si>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</si>
  <si>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</si>
  <si>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</si>
  <si>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</si>
  <si>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</si>
  <si>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</si>
  <si>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</si>
  <si>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</si>
  <si>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</si>
  <si>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</si>
  <si>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</si>
  <si>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</si>
  <si>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</si>
  <si>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</si>
  <si>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</si>
  <si>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</si>
  <si>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</si>
  <si>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</si>
  <si>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</si>
  <si>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</si>
  <si>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</si>
  <si>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</si>
  <si>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</si>
  <si>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</si>
  <si>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</si>
  <si>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</si>
  <si>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</si>
  <si>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</si>
  <si>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</si>
  <si>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</si>
  <si>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</si>
  <si>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</si>
  <si>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</si>
  <si>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</si>
  <si>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</si>
  <si>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</si>
  <si>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</si>
  <si>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</si>
  <si>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</si>
  <si>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</si>
  <si>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</si>
  <si>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</si>
  <si>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</si>
  <si>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</si>
  <si>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</si>
  <si>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</si>
  <si>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</si>
  <si>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</si>
  <si>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</si>
  <si>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</si>
  <si>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</si>
  <si>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</si>
  <si>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</si>
  <si>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</si>
  <si>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</si>
  <si>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</si>
  <si>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</si>
  <si>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</si>
  <si>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</si>
  <si>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</si>
  <si>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</si>
  <si>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</si>
  <si>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</si>
  <si>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</si>
  <si>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</si>
  <si>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</si>
  <si>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</si>
  <si>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</si>
  <si>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</si>
  <si>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</si>
  <si>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</si>
  <si>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</si>
  <si>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</si>
  <si>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</si>
  <si>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</si>
  <si>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</si>
  <si>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</si>
  <si>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</si>
  <si>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</si>
  <si>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</si>
  <si>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</si>
  <si>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</si>
  <si>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</si>
  <si>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</si>
  <si>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</si>
  <si>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</si>
  <si>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</si>
  <si>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</si>
  <si>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</si>
  <si>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</si>
  <si>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</si>
  <si>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</si>
  <si>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</si>
  <si>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</si>
  <si>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</si>
  <si>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</si>
  <si>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</si>
  <si>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</si>
  <si>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</si>
  <si>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</si>
  <si>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</si>
  <si>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</si>
  <si>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</si>
  <si>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</si>
  <si>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</si>
  <si>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</si>
  <si>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</si>
  <si>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</si>
  <si>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</si>
  <si>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</si>
  <si>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</si>
  <si>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</si>
  <si>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</si>
  <si>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</si>
  <si>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</si>
  <si>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</si>
  <si>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</si>
  <si>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</si>
  <si>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</si>
  <si>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</si>
  <si>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</si>
  <si>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</si>
  <si>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</si>
  <si>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</si>
  <si>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</si>
  <si>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</si>
  <si>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</si>
  <si>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</si>
  <si>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</si>
  <si>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</si>
  <si>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</si>
  <si>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</si>
  <si>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</si>
  <si>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</si>
  <si>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</si>
  <si>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</si>
  <si>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</si>
  <si>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</si>
  <si>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</si>
  <si>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</si>
  <si>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</si>
  <si>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</si>
  <si>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</si>
  <si>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</si>
  <si>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</si>
  <si>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</si>
  <si>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</si>
  <si>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</si>
  <si>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</si>
  <si>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</si>
  <si>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</si>
  <si>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</si>
  <si>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</si>
  <si>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</si>
  <si>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</si>
  <si>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</si>
  <si>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</si>
  <si>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</si>
  <si>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</si>
  <si>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</si>
  <si>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</si>
  <si>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</si>
  <si>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</si>
  <si>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</si>
  <si>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</si>
  <si>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</si>
  <si>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</si>
  <si>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</si>
  <si>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</si>
  <si>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</si>
  <si>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</si>
  <si>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</si>
  <si>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</si>
  <si>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</si>
  <si>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</si>
  <si>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</si>
  <si>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</si>
  <si>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</si>
  <si>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</si>
  <si>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</si>
  <si>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</si>
  <si>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</si>
  <si>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</si>
  <si>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</si>
  <si>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</si>
  <si>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</si>
  <si>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</si>
  <si>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</si>
  <si>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</si>
  <si>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</si>
  <si>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</si>
  <si>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</si>
  <si>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</si>
  <si>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</si>
  <si>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</si>
  <si>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</si>
  <si>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</si>
  <si>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</si>
  <si>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</si>
  <si>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</si>
  <si>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</si>
  <si>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</si>
  <si>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</si>
  <si>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</si>
  <si>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</si>
  <si>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</si>
  <si>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</si>
  <si>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</si>
  <si>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</si>
  <si>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</si>
  <si>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</si>
  <si>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</si>
  <si>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</si>
  <si>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</si>
  <si>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</si>
  <si>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</si>
  <si>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</si>
  <si>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</si>
  <si>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</si>
  <si>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</si>
  <si>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</si>
  <si>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</si>
  <si>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</si>
  <si>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</si>
  <si>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</si>
  <si>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</si>
  <si>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</si>
  <si>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</si>
  <si>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</si>
  <si>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</si>
  <si>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</si>
  <si>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</si>
  <si>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</si>
  <si>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</si>
  <si>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</si>
  <si>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</si>
  <si>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</si>
  <si>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</si>
  <si>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</si>
  <si>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</si>
  <si>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</si>
  <si>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</si>
  <si>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</si>
  <si>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</si>
  <si>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</si>
  <si>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</si>
  <si>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</si>
  <si>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</si>
  <si>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</si>
  <si>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</si>
  <si>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</si>
  <si>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</si>
  <si>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</si>
  <si>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</si>
  <si>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</si>
  <si>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</si>
  <si>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</si>
  <si>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</si>
  <si>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</si>
  <si>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</si>
  <si>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</si>
  <si>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</si>
  <si>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</si>
  <si>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</si>
  <si>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</si>
  <si>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</si>
  <si>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</si>
  <si>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</si>
  <si>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</si>
  <si>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</si>
  <si>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</si>
  <si>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</si>
  <si>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</si>
  <si>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</si>
  <si>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</si>
  <si>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</si>
  <si>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</si>
  <si>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</si>
  <si>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</si>
  <si>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</si>
  <si>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</si>
  <si>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</si>
  <si>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</si>
  <si>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</si>
  <si>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</si>
  <si>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</si>
  <si>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</si>
  <si>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</si>
  <si>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</si>
  <si>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</si>
  <si>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</si>
  <si>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</si>
  <si>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</si>
  <si>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</si>
  <si>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</si>
  <si>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</si>
  <si>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</si>
  <si>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</si>
  <si>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</si>
  <si>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</si>
  <si>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</si>
  <si>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</si>
  <si>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</si>
  <si>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</si>
  <si>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</si>
  <si>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</si>
  <si>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</si>
  <si>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</si>
  <si>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</si>
  <si>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</si>
  <si>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</si>
  <si>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</si>
  <si>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</si>
  <si>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</si>
  <si>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</si>
  <si>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</si>
  <si>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</si>
  <si>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</si>
  <si>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</si>
  <si>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</si>
  <si>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</si>
  <si>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</si>
  <si>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</si>
  <si>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</si>
  <si>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</si>
  <si>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</si>
  <si>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</si>
  <si>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</si>
  <si>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</si>
  <si>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</si>
  <si>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</si>
  <si>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</si>
  <si>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</si>
  <si>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</si>
  <si>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</si>
  <si>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</si>
  <si>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</si>
  <si>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</si>
  <si>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</si>
  <si>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</si>
  <si>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</si>
  <si>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</si>
  <si>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</si>
  <si>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</si>
  <si>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</si>
  <si>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</si>
  <si>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</si>
  <si>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</si>
  <si>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</si>
  <si>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</si>
  <si>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</si>
  <si>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</si>
  <si>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</si>
  <si>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</si>
  <si>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</si>
  <si>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</si>
  <si>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</si>
  <si>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</si>
  <si>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</si>
  <si>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</si>
  <si>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</si>
  <si>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</si>
  <si>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</si>
  <si>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</si>
  <si>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</si>
  <si>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</si>
  <si>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</si>
  <si>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</si>
  <si>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</si>
  <si>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</si>
  <si>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</si>
  <si>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</si>
  <si>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</si>
  <si>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</si>
  <si>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</si>
  <si>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</si>
  <si>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</si>
  <si>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</si>
  <si>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</si>
  <si>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</si>
  <si>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</si>
  <si>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</si>
  <si>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</si>
  <si>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</si>
  <si>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</si>
  <si>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</si>
  <si>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</si>
  <si>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</si>
  <si>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</si>
  <si>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</si>
  <si>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</si>
  <si>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</si>
  <si>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</si>
  <si>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</si>
  <si>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</si>
  <si>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</si>
  <si>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</si>
  <si>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</si>
  <si>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</si>
  <si>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</si>
  <si>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</si>
  <si>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</si>
  <si>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</si>
  <si>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</si>
  <si>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</si>
  <si>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</si>
  <si>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</si>
  <si>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</si>
  <si>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</si>
  <si>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</si>
  <si>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</si>
  <si>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</si>
  <si>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</si>
  <si>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</si>
  <si>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</si>
  <si>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</si>
  <si>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</si>
  <si>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</si>
  <si>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</si>
  <si>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</si>
  <si>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</si>
  <si>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</si>
  <si>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</si>
  <si>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</si>
  <si>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</si>
  <si>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</si>
  <si>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</si>
  <si>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</si>
  <si>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</si>
  <si>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</si>
  <si>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</si>
  <si>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</si>
  <si>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</si>
  <si>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</si>
  <si>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</si>
  <si>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</si>
  <si>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</si>
  <si>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</si>
  <si>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</si>
  <si>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</si>
  <si>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</si>
  <si>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</si>
  <si>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</si>
  <si>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</si>
  <si>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</si>
  <si>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</si>
  <si>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</si>
  <si>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</si>
  <si>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</si>
  <si>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</si>
  <si>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</si>
  <si>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</si>
  <si>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</si>
  <si>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</si>
  <si>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</si>
  <si>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</si>
  <si>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</si>
  <si>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</si>
  <si>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</si>
  <si>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</si>
  <si>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</si>
  <si>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</si>
  <si>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</si>
  <si>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</si>
  <si>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</si>
  <si>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</si>
  <si>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</si>
  <si>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</si>
  <si>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</si>
  <si>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</si>
  <si>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</si>
  <si>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</si>
  <si>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</si>
  <si>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</si>
  <si>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</si>
  <si>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</si>
  <si>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</si>
  <si>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</si>
  <si>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</si>
  <si>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</si>
  <si>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</si>
  <si>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</si>
  <si>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</si>
  <si>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</si>
  <si>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</si>
  <si>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</si>
  <si>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</si>
  <si>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</si>
  <si>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</si>
  <si>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</si>
  <si>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</si>
  <si>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</si>
  <si>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</si>
  <si>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</si>
  <si>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</si>
  <si>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</si>
  <si>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</si>
  <si>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</si>
  <si>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</si>
  <si>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</si>
  <si>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</si>
  <si>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</si>
  <si>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</si>
  <si>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</si>
  <si>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</si>
  <si>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</si>
  <si>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</si>
  <si>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</si>
  <si>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</si>
  <si>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</si>
  <si>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</si>
  <si>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</si>
  <si>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</si>
  <si>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</si>
  <si>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</si>
  <si>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</si>
  <si>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</si>
  <si>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</si>
  <si>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</si>
  <si>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</si>
  <si>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</si>
  <si>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</si>
  <si>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</si>
  <si>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</si>
  <si>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</si>
  <si>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</si>
  <si>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</si>
  <si>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</si>
  <si>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</si>
  <si>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</si>
  <si>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</si>
  <si>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</si>
  <si>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</si>
  <si>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</si>
  <si>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</si>
  <si>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</si>
  <si>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</si>
  <si>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</si>
  <si>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</si>
  <si>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</si>
  <si>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</si>
  <si>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</si>
  <si>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</si>
  <si>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</si>
  <si>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</si>
  <si>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</si>
  <si>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</si>
  <si>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</si>
  <si>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</si>
  <si>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</si>
  <si>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</si>
  <si>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</si>
  <si>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</si>
  <si>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</si>
  <si>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</si>
  <si>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</si>
  <si>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</si>
  <si>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</si>
  <si>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</si>
  <si>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</si>
  <si>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</si>
  <si>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</si>
  <si>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</si>
  <si>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</si>
  <si>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</si>
  <si>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</si>
  <si>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</si>
  <si>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</si>
  <si>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</si>
  <si>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</si>
  <si>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</si>
  <si>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</si>
  <si>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</si>
  <si>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</si>
  <si>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</si>
  <si>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</si>
  <si>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</si>
  <si>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</si>
  <si>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</si>
  <si>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</si>
  <si>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</si>
  <si>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</si>
  <si>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</si>
  <si>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</si>
  <si>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</si>
  <si>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</si>
  <si>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</si>
  <si>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</si>
  <si>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</si>
  <si>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</si>
  <si>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</si>
  <si>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</si>
  <si>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</si>
  <si>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</si>
  <si>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</si>
  <si>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</si>
  <si>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</si>
  <si>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</si>
  <si>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</si>
  <si>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</si>
  <si>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</si>
  <si>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</si>
  <si>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</si>
  <si>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</si>
  <si>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</si>
  <si>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</si>
  <si>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</si>
  <si>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</si>
  <si>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</si>
  <si>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</si>
  <si>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</si>
  <si>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</si>
  <si>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</si>
  <si>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</si>
  <si>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</si>
  <si>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</si>
  <si>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</si>
  <si>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</si>
  <si>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</si>
  <si>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</si>
  <si>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</si>
  <si>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</si>
  <si>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</si>
  <si>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</si>
  <si>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</si>
  <si>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</si>
  <si>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</si>
  <si>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</si>
  <si>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</si>
  <si>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</si>
  <si>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</si>
  <si>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</si>
  <si>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</si>
  <si>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</si>
  <si>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</si>
  <si>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</si>
  <si>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</si>
  <si>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</si>
  <si>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</si>
  <si>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</si>
  <si>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</si>
  <si>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</si>
  <si>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</si>
  <si>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</si>
  <si>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</si>
  <si>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</si>
  <si>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</si>
  <si>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</si>
  <si>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</si>
  <si>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</si>
  <si>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</si>
  <si>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</si>
  <si>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</si>
  <si>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</si>
  <si>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</si>
  <si>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</si>
  <si>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</si>
  <si>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</si>
  <si>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</si>
  <si>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</si>
  <si>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</si>
  <si>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</si>
  <si>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</si>
  <si>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</si>
  <si>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</si>
  <si>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</si>
  <si>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</si>
  <si>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</si>
  <si>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</si>
  <si>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</si>
  <si>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</si>
  <si>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</si>
  <si>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</si>
  <si>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</si>
  <si>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</si>
  <si>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</si>
  <si>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</si>
  <si>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</si>
  <si>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</si>
  <si>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</si>
  <si>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</si>
  <si>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</si>
  <si>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</si>
  <si>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</si>
  <si>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</si>
  <si>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</si>
  <si>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</si>
  <si>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</si>
  <si>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</si>
  <si>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</si>
  <si>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</si>
  <si>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</si>
  <si>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</si>
  <si>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</si>
  <si>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</si>
  <si>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</si>
  <si>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</si>
  <si>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</si>
  <si>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</si>
  <si>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</si>
  <si>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</si>
  <si>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</si>
  <si>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</si>
  <si>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</si>
  <si>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</si>
  <si>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</si>
  <si>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</si>
  <si>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</si>
  <si>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</si>
  <si>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</si>
  <si>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</si>
  <si>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</si>
  <si>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</si>
  <si>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</si>
  <si>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</si>
  <si>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</si>
  <si>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</si>
  <si>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</si>
  <si>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</si>
  <si>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</si>
  <si>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</si>
  <si>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</si>
  <si>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</si>
  <si>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</si>
  <si>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</si>
  <si>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</si>
  <si>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</si>
  <si>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</si>
  <si>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</si>
  <si>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</si>
  <si>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</si>
  <si>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</si>
  <si>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</si>
  <si>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</si>
  <si>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</si>
  <si>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</si>
  <si>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</si>
  <si>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</si>
  <si>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</si>
  <si>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</si>
  <si>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</si>
  <si>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</si>
  <si>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</si>
  <si>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</si>
  <si>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</si>
  <si>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</si>
  <si>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</si>
  <si>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</si>
  <si>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</si>
  <si>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</si>
  <si>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</si>
  <si>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</si>
  <si>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</si>
  <si>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</si>
  <si>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</si>
  <si>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</si>
  <si>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</si>
  <si>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</si>
  <si>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</si>
  <si>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</si>
  <si>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</si>
  <si>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</si>
  <si>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</si>
  <si>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</si>
  <si>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</si>
  <si>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</si>
  <si>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</si>
  <si>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</si>
  <si>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</si>
  <si>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</si>
  <si>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</si>
  <si>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</si>
  <si>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</si>
  <si>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</si>
  <si>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</si>
  <si>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</si>
  <si>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</si>
  <si>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</si>
  <si>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</si>
  <si>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</si>
  <si>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</si>
  <si>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</si>
  <si>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</si>
  <si>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</si>
  <si>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</si>
  <si>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</si>
  <si>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</si>
  <si>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</si>
  <si>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</si>
  <si>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</si>
  <si>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</si>
  <si>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</si>
  <si>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</si>
  <si>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</si>
  <si>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</si>
  <si>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</si>
  <si>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</si>
  <si>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</si>
  <si>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</si>
  <si>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</si>
  <si>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</si>
  <si>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</si>
  <si>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</si>
  <si>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</si>
  <si>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</si>
  <si>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</si>
  <si>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</si>
  <si>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</si>
  <si>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</si>
  <si>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</si>
  <si>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</si>
  <si>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</si>
  <si>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</si>
  <si>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</si>
  <si>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</si>
  <si>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</si>
  <si>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</si>
  <si>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</si>
  <si>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</si>
  <si>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</si>
  <si>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</si>
  <si>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</si>
  <si>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</si>
  <si>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</si>
  <si>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</si>
  <si>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</si>
  <si>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</si>
  <si>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</si>
  <si>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</si>
  <si>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</si>
  <si>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</si>
  <si>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</si>
  <si>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</si>
  <si>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</si>
  <si>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</si>
  <si>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</si>
  <si>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</si>
  <si>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</si>
  <si>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</si>
  <si>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</si>
  <si>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</si>
  <si>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</si>
  <si>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</si>
  <si>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</si>
  <si>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</si>
  <si>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</si>
  <si>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</si>
  <si>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</si>
  <si>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</si>
  <si>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</si>
  <si>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</si>
  <si>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</si>
  <si>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</si>
  <si>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</si>
  <si>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</si>
  <si>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</si>
  <si>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</si>
  <si>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</si>
  <si>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</si>
  <si>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</si>
  <si>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</si>
  <si>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</si>
  <si>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</si>
  <si>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</si>
  <si>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</si>
  <si>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</si>
  <si>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</si>
  <si>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</si>
  <si>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</si>
  <si>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</si>
  <si>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</si>
  <si>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</si>
  <si>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</si>
  <si>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</si>
  <si>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</si>
  <si>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</si>
  <si>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</si>
  <si>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</si>
  <si>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</si>
  <si>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</si>
  <si>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</si>
  <si>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</si>
  <si>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</si>
  <si>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</si>
  <si>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</si>
  <si>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</si>
  <si>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</si>
  <si>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</si>
  <si>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</si>
  <si>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</si>
  <si>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</si>
  <si>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</si>
  <si>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</si>
  <si>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</si>
  <si>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</si>
  <si>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</si>
  <si>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</si>
  <si>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</si>
  <si>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</si>
  <si>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</si>
  <si>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</si>
  <si>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</si>
  <si>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</si>
  <si>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</si>
  <si>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</si>
  <si>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</si>
  <si>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</si>
  <si>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</si>
  <si>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</si>
  <si>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</si>
  <si>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</si>
  <si>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</si>
  <si>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</si>
  <si>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</si>
  <si>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</si>
  <si>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</si>
  <si>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</si>
  <si>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</si>
  <si>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</si>
  <si>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</si>
  <si>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</si>
  <si>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</si>
  <si>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</si>
  <si>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</si>
  <si>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</si>
  <si>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</si>
  <si>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</si>
  <si>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</si>
  <si>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</si>
  <si>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</si>
  <si>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</si>
  <si>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</si>
  <si>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</si>
  <si>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</si>
  <si>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</si>
  <si>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</si>
  <si>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</si>
  <si>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</si>
  <si>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</si>
  <si>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</si>
  <si>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</si>
  <si>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</si>
  <si>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</si>
  <si>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</si>
  <si>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</si>
  <si>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</si>
  <si>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</si>
  <si>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</si>
  <si>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</si>
  <si>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</si>
  <si>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</si>
  <si>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</si>
  <si>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</si>
  <si>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</si>
  <si>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</si>
  <si>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</si>
  <si>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</si>
  <si>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</si>
  <si>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</si>
  <si>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</si>
  <si>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</si>
  <si>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</si>
  <si>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</si>
  <si>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</si>
  <si>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</si>
  <si>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</si>
  <si>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</si>
  <si>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</si>
  <si>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</si>
  <si>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</si>
  <si>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</si>
  <si>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</si>
  <si>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</si>
  <si>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</si>
  <si>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</si>
  <si>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</si>
  <si>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</si>
  <si>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</si>
  <si>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</si>
  <si>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</si>
  <si>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</si>
  <si>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</si>
  <si>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</si>
  <si>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</si>
  <si>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</si>
  <si>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</si>
  <si>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</si>
  <si>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</si>
  <si>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</si>
  <si>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</si>
  <si>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</si>
  <si>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</si>
  <si>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</si>
  <si>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</si>
  <si>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</si>
  <si>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</si>
  <si>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</si>
  <si>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</si>
  <si>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</si>
  <si>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</si>
  <si>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</si>
  <si>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</si>
  <si>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</si>
  <si>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</si>
  <si>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</si>
  <si>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</si>
  <si>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</si>
  <si>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</si>
  <si>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</si>
  <si>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</si>
  <si>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</si>
  <si>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</si>
  <si>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</si>
  <si>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</si>
  <si>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</si>
  <si>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</si>
  <si>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</si>
  <si>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</si>
  <si>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</si>
  <si>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</si>
  <si>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</si>
  <si>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</si>
  <si>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</si>
  <si>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</si>
  <si>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</si>
  <si>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</si>
  <si>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</si>
  <si>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</si>
  <si>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</si>
  <si>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</si>
  <si>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</si>
  <si>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</si>
  <si>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</si>
  <si>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</si>
  <si>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</si>
  <si>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</si>
  <si>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</si>
  <si>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</si>
  <si>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</si>
  <si>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</si>
  <si>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</si>
  <si>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</si>
  <si>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</si>
  <si>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</si>
  <si>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</si>
  <si>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</si>
  <si>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</si>
  <si>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</si>
  <si>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</si>
  <si>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</si>
  <si>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</si>
  <si>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</si>
  <si>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</si>
  <si>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</si>
  <si>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</si>
  <si>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</si>
  <si>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</si>
  <si>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</si>
  <si>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</si>
  <si>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</si>
  <si>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</si>
  <si>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</si>
  <si>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</si>
  <si>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</si>
  <si>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</si>
  <si>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</si>
  <si>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</si>
  <si>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</si>
  <si>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</si>
  <si>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</si>
  <si>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</si>
  <si>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</si>
  <si>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</si>
  <si>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</si>
  <si>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</si>
  <si>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</si>
  <si>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</si>
  <si>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</si>
  <si>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</si>
  <si>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</si>
  <si>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</si>
  <si>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</si>
  <si>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</si>
  <si>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</si>
  <si>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</si>
  <si>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</si>
  <si>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</si>
  <si>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</si>
  <si>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</si>
  <si>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</si>
  <si>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</si>
  <si>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</si>
  <si>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</si>
  <si>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</si>
  <si>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</si>
  <si>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</si>
  <si>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</si>
  <si>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</si>
  <si>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</si>
  <si>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</si>
  <si>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</si>
  <si>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</si>
  <si>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</si>
  <si>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</si>
  <si>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</si>
  <si>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</si>
  <si>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</si>
  <si>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</si>
  <si>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</si>
  <si>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</si>
  <si>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</si>
  <si>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</si>
  <si>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</si>
  <si>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</si>
  <si>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</si>
  <si>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</si>
  <si>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</si>
  <si>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</si>
  <si>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</si>
  <si>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</si>
  <si>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</si>
  <si>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</si>
  <si>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</si>
  <si>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</si>
  <si>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</si>
  <si>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</si>
  <si>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</si>
  <si>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</si>
  <si>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</si>
  <si>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</si>
  <si>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</si>
  <si>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</si>
  <si>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</si>
  <si>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</si>
  <si>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</si>
  <si>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</si>
  <si>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</si>
  <si>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</si>
  <si>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</si>
  <si>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</si>
  <si>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</si>
  <si>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</si>
  <si>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</si>
  <si>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</si>
  <si>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</si>
  <si>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</si>
  <si>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</si>
  <si>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</si>
  <si>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</si>
  <si>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</si>
  <si>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</si>
  <si>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</si>
  <si>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</si>
  <si>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</si>
  <si>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</si>
  <si>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</si>
  <si>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</si>
  <si>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</si>
  <si>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</si>
  <si>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</si>
  <si>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</si>
  <si>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</si>
  <si>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</si>
  <si>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</si>
  <si>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</si>
  <si>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</si>
  <si>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</si>
  <si>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</si>
  <si>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</si>
  <si>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</si>
  <si>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</si>
  <si>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</si>
  <si>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</si>
  <si>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</si>
  <si>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</si>
  <si>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</si>
  <si>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</si>
  <si>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</si>
  <si>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</si>
  <si>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</si>
  <si>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</si>
  <si>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</si>
  <si>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</si>
  <si>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</si>
  <si>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</si>
  <si>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</si>
  <si>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</si>
  <si>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</si>
  <si>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</si>
  <si>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</si>
  <si>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</si>
  <si>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</si>
  <si>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</si>
  <si>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</si>
  <si>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</si>
  <si>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</si>
  <si>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</si>
  <si>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</si>
  <si>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</si>
  <si>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</si>
  <si>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</si>
  <si>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</si>
  <si>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</si>
  <si>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</si>
  <si>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</si>
  <si>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</si>
  <si>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</si>
  <si>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</si>
  <si>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</si>
  <si>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</si>
  <si>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</si>
  <si>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</si>
  <si>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</si>
  <si>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</si>
  <si>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</si>
  <si>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</si>
  <si>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</si>
  <si>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</si>
  <si>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</si>
  <si>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</si>
  <si>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</si>
  <si>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</si>
  <si>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</si>
  <si>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</si>
  <si>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</si>
  <si>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</si>
  <si>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</si>
  <si>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</si>
  <si>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</si>
  <si>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</si>
  <si>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</si>
  <si>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</si>
  <si>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</si>
  <si>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</si>
  <si>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</si>
  <si>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</si>
  <si>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</si>
  <si>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</si>
  <si>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</si>
  <si>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</si>
  <si>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</si>
  <si>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</si>
  <si>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</si>
  <si>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</si>
  <si>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</si>
  <si>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</si>
  <si>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</si>
  <si>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</si>
  <si>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</si>
  <si>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</si>
  <si>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</si>
  <si>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</si>
  <si>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</si>
  <si>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</si>
  <si>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</si>
  <si>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</si>
  <si>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</si>
  <si>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</si>
  <si>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</si>
  <si>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</si>
  <si>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</si>
  <si>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</si>
  <si>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</si>
  <si>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</si>
  <si>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</si>
  <si>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</si>
  <si>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</si>
  <si>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</si>
  <si>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</si>
  <si>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</si>
  <si>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</si>
  <si>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</si>
  <si>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</si>
  <si>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</si>
  <si>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</si>
  <si>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</si>
  <si>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</si>
  <si>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</si>
  <si>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</si>
  <si>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</si>
  <si>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</si>
  <si>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</si>
  <si>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</si>
  <si>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</si>
  <si>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</si>
  <si>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</si>
  <si>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</si>
  <si>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</si>
  <si>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</si>
  <si>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</si>
  <si>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</si>
  <si>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</si>
  <si>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</si>
  <si>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</si>
  <si>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</si>
  <si>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</si>
  <si>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</si>
  <si>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</si>
  <si>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</si>
  <si>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</si>
  <si>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</si>
  <si>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</si>
  <si>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</si>
  <si>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</si>
  <si>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</si>
  <si>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</si>
  <si>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</si>
  <si>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</si>
  <si>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</si>
  <si>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</si>
  <si>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</si>
  <si>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</si>
  <si>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</si>
  <si>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</si>
  <si>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</si>
  <si>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</si>
  <si>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</si>
  <si>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</si>
  <si>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</si>
  <si>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</si>
  <si>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</si>
  <si>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</si>
  <si>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</si>
  <si>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</si>
  <si>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</si>
  <si>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</si>
  <si>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</si>
  <si>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</si>
  <si>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</si>
  <si>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</si>
  <si>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</si>
  <si>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</si>
  <si>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</si>
  <si>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</si>
  <si>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</si>
  <si>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</si>
  <si>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</si>
  <si>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</si>
  <si>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</si>
  <si>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</si>
  <si>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</si>
  <si>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</si>
  <si>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</si>
  <si>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</si>
  <si>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</si>
  <si>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</si>
  <si>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</si>
  <si>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</si>
  <si>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</si>
  <si>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</si>
  <si>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</si>
  <si>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</si>
  <si>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</si>
  <si>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</si>
  <si>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</si>
  <si>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</si>
  <si>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</si>
  <si>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</si>
  <si>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</si>
  <si>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</si>
  <si>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</si>
  <si>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</si>
  <si>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</si>
  <si>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</si>
  <si>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</si>
  <si>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</si>
  <si>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</si>
  <si>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</si>
  <si>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</si>
  <si>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</si>
  <si>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</si>
  <si>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</si>
  <si>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</si>
  <si>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</si>
  <si>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</si>
  <si>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</si>
  <si>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</si>
  <si>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</si>
  <si>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</si>
  <si>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</si>
  <si>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</si>
  <si>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</si>
  <si>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</si>
  <si>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</si>
  <si>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</si>
  <si>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</si>
  <si>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</si>
  <si>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</si>
  <si>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</si>
  <si>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</si>
  <si>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</si>
  <si>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</si>
  <si>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</si>
  <si>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</si>
  <si>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</si>
  <si>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</si>
  <si>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</si>
  <si>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</si>
  <si>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</si>
  <si>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</si>
  <si>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</si>
  <si>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</si>
  <si>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</si>
  <si>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</si>
  <si>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</si>
  <si>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</si>
  <si>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</si>
  <si>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</si>
  <si>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</si>
  <si>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</si>
  <si>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</si>
  <si>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</si>
  <si>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</si>
  <si>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</si>
  <si>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</si>
  <si>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</si>
  <si>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</si>
  <si>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</si>
  <si>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</si>
  <si>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</si>
  <si>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</si>
  <si>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</si>
  <si>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</si>
  <si>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</si>
  <si>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</si>
  <si>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</si>
  <si>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</si>
  <si>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</si>
  <si>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</si>
  <si>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</si>
  <si>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</si>
  <si>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</si>
  <si>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</si>
  <si>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</si>
  <si>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</si>
  <si>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</si>
  <si>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</si>
  <si>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</si>
  <si>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</si>
  <si>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</si>
  <si>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</si>
  <si>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</si>
  <si>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</si>
  <si>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</si>
  <si>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</si>
  <si>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</si>
  <si>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</si>
  <si>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</si>
  <si>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</si>
  <si>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</si>
  <si>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</si>
  <si>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</si>
  <si>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</si>
  <si>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</si>
  <si>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</si>
  <si>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</si>
  <si>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</si>
  <si>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</si>
  <si>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</si>
  <si>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</si>
  <si>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</si>
  <si>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</si>
  <si>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</si>
  <si>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</si>
  <si>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</si>
  <si>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</si>
  <si>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</si>
  <si>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</si>
  <si>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</si>
  <si>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</si>
  <si>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</si>
  <si>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</si>
  <si>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</si>
  <si>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</si>
  <si>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</si>
  <si>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</si>
  <si>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</si>
  <si>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</si>
  <si>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</si>
  <si>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</si>
  <si>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</si>
  <si>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</si>
  <si>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</si>
  <si>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</si>
  <si>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</si>
  <si>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</si>
  <si>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</si>
  <si>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</si>
  <si>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</si>
  <si>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</si>
  <si>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</si>
  <si>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</si>
  <si>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</si>
  <si>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</si>
  <si>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</si>
  <si>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</si>
  <si>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</si>
  <si>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</si>
  <si>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</si>
  <si>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</si>
  <si>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</si>
  <si>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</si>
  <si>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</si>
  <si>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</si>
  <si>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</si>
  <si>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</si>
  <si>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</si>
  <si>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</si>
  <si>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</si>
  <si>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</si>
  <si>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</si>
  <si>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</si>
  <si>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</si>
  <si>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</si>
  <si>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</si>
  <si>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</si>
  <si>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</si>
  <si>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</si>
  <si>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</si>
  <si>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</si>
  <si>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</si>
  <si>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</si>
  <si>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</si>
  <si>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</si>
  <si>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</si>
  <si>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</si>
  <si>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</si>
  <si>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</si>
  <si>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</si>
  <si>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</si>
  <si>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</si>
  <si>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</si>
  <si>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</si>
  <si>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</si>
  <si>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</si>
  <si>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</si>
  <si>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</si>
  <si>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</si>
  <si>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</si>
  <si>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</si>
  <si>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</si>
  <si>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</si>
  <si>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</si>
  <si>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</si>
  <si>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</si>
  <si>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</si>
  <si>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</si>
  <si>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</si>
  <si>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</si>
  <si>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</si>
  <si>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</si>
  <si>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</si>
  <si>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</si>
  <si>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</si>
  <si>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</si>
  <si>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</si>
  <si>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</si>
  <si>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</si>
  <si>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</si>
  <si>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</si>
  <si>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</si>
  <si>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</si>
  <si>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</si>
  <si>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</si>
  <si>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</si>
  <si>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</si>
  <si>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</si>
  <si>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</si>
  <si>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</si>
  <si>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</si>
  <si>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</si>
  <si>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</si>
  <si>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</si>
  <si>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</si>
  <si>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</si>
  <si>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</si>
  <si>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</si>
  <si>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</si>
  <si>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</si>
  <si>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</si>
  <si>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</si>
  <si>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</si>
  <si>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</si>
  <si>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</si>
  <si>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</si>
  <si>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</si>
  <si>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</si>
  <si>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</si>
  <si>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</si>
  <si>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</si>
  <si>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</si>
  <si>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</si>
  <si>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</si>
  <si>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</si>
  <si>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</si>
  <si>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</si>
  <si>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</si>
  <si>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</si>
  <si>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</si>
  <si>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</si>
  <si>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</si>
  <si>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</si>
  <si>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</si>
  <si>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</si>
  <si>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</si>
  <si>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</si>
  <si>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</si>
  <si>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</si>
  <si>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</si>
  <si>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</si>
  <si>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</si>
  <si>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</si>
  <si>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</si>
  <si>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</si>
  <si>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</si>
  <si>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</si>
  <si>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</si>
  <si>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</si>
  <si>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</si>
  <si>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</si>
  <si>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</si>
  <si>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</si>
  <si>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</si>
  <si>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</si>
  <si>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</si>
  <si>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</si>
  <si>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</si>
  <si>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</si>
  <si>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</si>
  <si>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</si>
  <si>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</si>
  <si>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</si>
  <si>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</si>
  <si>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</si>
  <si>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</si>
  <si>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</si>
  <si>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</si>
  <si>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</si>
  <si>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</si>
  <si>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</si>
  <si>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</si>
  <si>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</si>
  <si>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</si>
  <si>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</si>
  <si>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</si>
  <si>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</si>
  <si>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</si>
  <si>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</si>
  <si>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</si>
  <si>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</si>
  <si>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</si>
  <si>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</si>
  <si>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</si>
  <si>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</si>
  <si>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</si>
  <si>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</si>
  <si>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</si>
  <si>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</si>
  <si>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</si>
  <si>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</si>
  <si>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</si>
  <si>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</si>
  <si>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</si>
  <si>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</si>
  <si>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</si>
  <si>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</si>
  <si>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</si>
  <si>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</si>
  <si>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</si>
  <si>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</si>
  <si>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</si>
  <si>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</si>
  <si>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</si>
  <si>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</si>
  <si>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</si>
  <si>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</si>
  <si>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</si>
  <si>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</si>
  <si>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</si>
  <si>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</si>
  <si>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</si>
  <si>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</si>
  <si>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</si>
  <si>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</si>
  <si>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</si>
  <si>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</si>
  <si>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</si>
  <si>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</si>
  <si>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</si>
  <si>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</si>
  <si>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</si>
  <si>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</si>
  <si>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</si>
  <si>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</si>
  <si>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</si>
  <si>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</si>
  <si>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</si>
  <si>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</si>
  <si>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</si>
  <si>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</si>
  <si>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</si>
  <si>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</si>
  <si>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</si>
  <si>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</si>
  <si>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</si>
  <si>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</si>
  <si>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</si>
  <si>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</si>
  <si>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</si>
  <si>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</si>
  <si>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</si>
  <si>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</si>
  <si>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</si>
  <si>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</si>
  <si>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</si>
  <si>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</si>
  <si>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</si>
  <si>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</si>
  <si>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</si>
  <si>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</si>
  <si>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</si>
  <si>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</si>
  <si>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</si>
  <si>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</si>
  <si>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</si>
  <si>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</si>
  <si>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</si>
  <si>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</si>
  <si>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</si>
  <si>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</si>
  <si>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</si>
  <si>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</si>
  <si>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</si>
  <si>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</si>
  <si>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</si>
  <si>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</si>
  <si>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</si>
  <si>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</si>
  <si>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</si>
  <si>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</si>
  <si>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</si>
  <si>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</si>
  <si>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</si>
  <si>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</si>
  <si>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</si>
  <si>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</si>
  <si>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</si>
  <si>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</si>
  <si>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</si>
  <si>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</si>
  <si>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</si>
  <si>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</si>
  <si>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</si>
  <si>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</si>
  <si>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</si>
  <si>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</si>
  <si>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</si>
  <si>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</si>
  <si>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</si>
  <si>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</si>
  <si>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</si>
  <si>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</si>
  <si>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</si>
  <si>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</si>
  <si>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</si>
  <si>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</si>
  <si>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</si>
  <si>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</si>
  <si>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</si>
  <si>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</si>
  <si>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</si>
  <si>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</si>
  <si>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</si>
  <si>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</si>
  <si>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</si>
  <si>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</si>
  <si>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</si>
  <si>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</si>
  <si>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</si>
  <si>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</si>
  <si>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</si>
  <si>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</si>
  <si>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</si>
  <si>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</si>
  <si>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</si>
  <si>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</si>
  <si>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</si>
  <si>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</si>
  <si>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</si>
  <si>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</si>
  <si>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</si>
  <si>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</si>
  <si>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</si>
  <si>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</si>
  <si>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</si>
  <si>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</si>
  <si>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</si>
  <si>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</si>
  <si>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</si>
  <si>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</si>
  <si>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</si>
  <si>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</si>
  <si>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</si>
  <si>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</si>
  <si>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</si>
  <si>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</si>
  <si>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</si>
  <si>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</si>
  <si>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</si>
  <si>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</si>
  <si>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</si>
  <si>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</si>
  <si>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</si>
  <si>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</si>
  <si>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</si>
  <si>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</si>
  <si>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</si>
  <si>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</si>
  <si>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</si>
  <si>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</si>
  <si>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</si>
  <si>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</si>
  <si>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</si>
  <si>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</si>
  <si>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</si>
  <si>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</si>
  <si>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</si>
  <si>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</si>
  <si>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</si>
  <si>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</si>
  <si>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</si>
  <si>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</si>
  <si>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</si>
  <si>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</si>
  <si>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</si>
  <si>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</si>
  <si>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</si>
  <si>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</si>
  <si>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</si>
  <si>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</si>
  <si>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</si>
  <si>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</si>
  <si>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</si>
  <si>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</si>
  <si>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</si>
  <si>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</si>
  <si>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</si>
  <si>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</si>
  <si>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</si>
  <si>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</si>
  <si>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</si>
  <si>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</si>
  <si>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</si>
  <si>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</si>
  <si>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</si>
  <si>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</si>
  <si>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</si>
  <si>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</si>
  <si>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</si>
  <si>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</si>
  <si>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</si>
  <si>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</si>
  <si>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</si>
  <si>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</si>
  <si>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</si>
  <si>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</si>
  <si>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</si>
  <si>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</si>
  <si>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</si>
  <si>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</si>
  <si>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</si>
  <si>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</si>
  <si>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</si>
  <si>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</si>
  <si>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</si>
  <si>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</si>
  <si>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</si>
  <si>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</si>
  <si>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</si>
  <si>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</si>
  <si>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</si>
  <si>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</si>
  <si>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</si>
  <si>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</si>
  <si>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</si>
  <si>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</si>
  <si>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</si>
  <si>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</si>
  <si>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</si>
  <si>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</si>
  <si>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</si>
  <si>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</si>
  <si>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</si>
  <si>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</si>
  <si>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</si>
  <si>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</si>
  <si>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</si>
  <si>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</si>
  <si>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</si>
  <si>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</si>
  <si>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</si>
  <si>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</si>
  <si>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</si>
  <si>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</si>
  <si>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</si>
  <si>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</si>
  <si>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</si>
  <si>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</si>
  <si>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</si>
  <si>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</si>
  <si>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</si>
  <si>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</si>
  <si>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</si>
  <si>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</si>
  <si>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</si>
  <si>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</si>
  <si>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</si>
  <si>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</si>
  <si>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</si>
  <si>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</si>
  <si>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</si>
  <si>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</si>
  <si>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</si>
  <si>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</si>
  <si>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</si>
  <si>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</si>
  <si>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</si>
  <si>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</si>
  <si>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</si>
  <si>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</si>
  <si>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</si>
  <si>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</si>
  <si>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</si>
  <si>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</si>
  <si>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</si>
  <si>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</si>
  <si>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</si>
  <si>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</si>
  <si>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</si>
  <si>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</si>
  <si>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</si>
  <si>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</si>
  <si>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</si>
  <si>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</si>
  <si>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</si>
  <si>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</si>
  <si>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</si>
  <si>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</si>
  <si>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</si>
  <si>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</si>
  <si>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</si>
  <si>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</si>
  <si>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</si>
  <si>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</si>
  <si>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</si>
  <si>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</si>
  <si>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</si>
  <si>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</si>
  <si>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</si>
  <si>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</si>
  <si>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</si>
  <si>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</si>
  <si>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</si>
  <si>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</si>
  <si>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</si>
  <si>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</si>
  <si>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</si>
  <si>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</si>
  <si>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</si>
  <si>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</si>
  <si>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</si>
  <si>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</si>
  <si>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</si>
  <si>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</si>
  <si>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</si>
  <si>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</si>
  <si>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</si>
  <si>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</si>
  <si>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</si>
  <si>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</si>
  <si>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</si>
  <si>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</si>
  <si>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</si>
  <si>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</si>
  <si>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</si>
  <si>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</si>
  <si>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</si>
  <si>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</si>
  <si>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</si>
  <si>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</si>
  <si>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</si>
  <si>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</si>
  <si>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</si>
  <si>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</si>
  <si>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</si>
  <si>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</si>
  <si>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</si>
  <si>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</si>
  <si>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</si>
  <si>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</si>
  <si>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</si>
  <si>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</si>
  <si>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</si>
  <si>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</si>
  <si>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</si>
  <si>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</si>
  <si>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</si>
  <si>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</si>
  <si>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</si>
  <si>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</si>
  <si>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</si>
  <si>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</si>
  <si>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</si>
  <si>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</si>
  <si>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</si>
  <si>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</si>
  <si>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</si>
  <si>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</si>
  <si>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</si>
  <si>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</si>
  <si>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</si>
  <si>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</si>
  <si>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</si>
  <si>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</si>
  <si>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</si>
  <si>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</si>
  <si>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</si>
  <si>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</si>
  <si>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</si>
  <si>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</si>
  <si>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</si>
  <si>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</si>
  <si>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</si>
  <si>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</si>
  <si>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</si>
  <si>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</si>
  <si>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</si>
  <si>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</si>
  <si>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</si>
  <si>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</si>
  <si>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</si>
  <si>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</si>
  <si>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</si>
  <si>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</si>
  <si>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</si>
  <si>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</si>
  <si>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</si>
  <si>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</si>
  <si>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</si>
  <si>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</si>
  <si>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</si>
  <si>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</si>
  <si>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</si>
  <si>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</si>
  <si>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</si>
  <si>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</si>
  <si>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</si>
  <si>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</si>
  <si>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</si>
  <si>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</si>
  <si>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</si>
  <si>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</si>
  <si>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</si>
  <si>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</si>
  <si>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</si>
  <si>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</si>
  <si>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</si>
  <si>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</si>
  <si>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</si>
  <si>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</si>
  <si>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</si>
  <si>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</si>
  <si>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</si>
  <si>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</si>
  <si>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</si>
  <si>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</si>
  <si>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</si>
  <si>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</si>
  <si>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</si>
  <si>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</si>
  <si>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</si>
  <si>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</si>
  <si>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</si>
  <si>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</si>
  <si>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</si>
  <si>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</si>
  <si>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</si>
  <si>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</si>
  <si>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</si>
  <si>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</si>
  <si>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</si>
  <si>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</si>
  <si>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</si>
  <si>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</si>
  <si>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</si>
  <si>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</si>
  <si>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</si>
  <si>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</si>
  <si>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</si>
  <si>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</si>
  <si>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</si>
  <si>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</si>
  <si>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</si>
  <si>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</si>
  <si>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</si>
  <si>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</si>
  <si>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</si>
  <si>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</si>
  <si>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</si>
  <si>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</si>
  <si>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</si>
  <si>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</si>
  <si>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</si>
  <si>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</si>
  <si>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</si>
  <si>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</si>
  <si>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</si>
  <si>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</si>
  <si>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</si>
  <si>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</si>
  <si>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</si>
  <si>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</si>
  <si>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</si>
  <si>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</si>
  <si>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</si>
  <si>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</si>
  <si>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</si>
  <si>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</si>
  <si>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</si>
  <si>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</si>
  <si>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</si>
  <si>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</si>
  <si>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</si>
  <si>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</si>
  <si>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</si>
  <si>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</si>
  <si>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</si>
  <si>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</si>
  <si>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</si>
  <si>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</si>
  <si>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</si>
  <si>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</si>
  <si>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</si>
  <si>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</si>
  <si>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</si>
  <si>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</si>
  <si>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</si>
  <si>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</si>
  <si>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</si>
  <si>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</si>
  <si>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</si>
  <si>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</si>
  <si>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</si>
  <si>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</si>
  <si>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</si>
  <si>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</si>
  <si>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</si>
  <si>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</si>
  <si>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</si>
  <si>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</si>
  <si>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</si>
  <si>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</si>
  <si>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</si>
  <si>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</si>
  <si>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</si>
  <si>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</si>
  <si>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</si>
  <si>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</si>
  <si>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</si>
  <si>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</si>
  <si>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</si>
  <si>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</si>
  <si>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</si>
  <si>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</si>
  <si>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</si>
  <si>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</si>
  <si>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</si>
  <si>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</si>
  <si>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</si>
  <si>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</si>
  <si>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</si>
  <si>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</si>
  <si>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</si>
  <si>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</si>
  <si>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</si>
  <si>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</si>
  <si>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</si>
  <si>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</si>
  <si>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</si>
  <si>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</si>
  <si>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</si>
  <si>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</si>
  <si>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</si>
  <si>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</si>
  <si>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</si>
  <si>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</si>
  <si>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</si>
  <si>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</si>
  <si>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</si>
  <si>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</si>
  <si>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</si>
  <si>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</si>
  <si>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</si>
  <si>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</si>
  <si>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</si>
  <si>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</si>
  <si>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</si>
  <si>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</si>
  <si>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</si>
  <si>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</si>
  <si>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</si>
  <si>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</si>
  <si>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</si>
  <si>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</si>
  <si>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</si>
  <si>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</si>
  <si>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</si>
  <si>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</si>
  <si>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</si>
  <si>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</si>
  <si>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</si>
  <si>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</si>
  <si>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</si>
  <si>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</si>
  <si>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</si>
  <si>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</si>
  <si>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</si>
  <si>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</si>
  <si>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</si>
  <si>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</si>
  <si>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</si>
  <si>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</si>
  <si>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</si>
  <si>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</si>
  <si>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</si>
  <si>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</si>
  <si>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</si>
  <si>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</si>
  <si>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</si>
  <si>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</si>
  <si>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</si>
  <si>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</si>
  <si>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</si>
  <si>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</si>
  <si>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</si>
  <si>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</si>
  <si>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</si>
  <si>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</si>
  <si>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</si>
  <si>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</si>
  <si>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</si>
  <si>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</si>
  <si>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</si>
  <si>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</si>
  <si>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</si>
  <si>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</si>
  <si>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</si>
  <si>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</si>
  <si>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</si>
  <si>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</si>
  <si>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</si>
  <si>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</si>
  <si>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</si>
  <si>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</si>
  <si>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</si>
  <si>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</si>
  <si>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</si>
  <si>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</si>
  <si>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</si>
  <si>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</si>
  <si>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</si>
  <si>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</si>
  <si>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</si>
  <si>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</si>
  <si>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</si>
  <si>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</si>
  <si>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</si>
  <si>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</si>
  <si>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</si>
  <si>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</si>
  <si>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</si>
  <si>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</si>
  <si>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</si>
  <si>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</si>
  <si>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</si>
  <si>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</si>
  <si>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</si>
  <si>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</si>
  <si>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</si>
  <si>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</si>
  <si>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</si>
  <si>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</si>
  <si>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</si>
  <si>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</si>
  <si>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</si>
  <si>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</si>
  <si>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</si>
  <si>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</si>
  <si>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</si>
  <si>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</si>
  <si>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</si>
  <si>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</si>
  <si>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</si>
  <si>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</si>
  <si>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</si>
  <si>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</si>
  <si>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</si>
  <si>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</si>
  <si>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</si>
  <si>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</si>
  <si>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</si>
  <si>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</si>
  <si>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</si>
  <si>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</si>
  <si>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</si>
  <si>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</si>
  <si>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</si>
  <si>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</si>
  <si>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</si>
  <si>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</si>
  <si>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</si>
  <si>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</si>
  <si>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</si>
  <si>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</si>
  <si>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</si>
  <si>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</si>
  <si>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</si>
  <si>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</si>
  <si>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</si>
  <si>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</si>
  <si>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</si>
  <si>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</si>
  <si>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</si>
  <si>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</si>
  <si>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</si>
  <si>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</si>
  <si>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</si>
  <si>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</si>
  <si>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</si>
  <si>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</si>
  <si>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</si>
  <si>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</si>
  <si>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</si>
  <si>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</si>
  <si>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</si>
  <si>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</si>
  <si>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</si>
  <si>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</si>
  <si>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</si>
  <si>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</si>
  <si>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</si>
  <si>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</si>
  <si>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</si>
  <si>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</si>
  <si>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</si>
  <si>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</si>
  <si>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</si>
  <si>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</si>
  <si>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</si>
  <si>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</si>
  <si>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</si>
  <si>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</si>
  <si>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</si>
  <si>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</si>
  <si>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</si>
  <si>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</si>
  <si>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</si>
  <si>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</si>
  <si>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</si>
  <si>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</si>
  <si>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</si>
  <si>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</si>
  <si>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</si>
  <si>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</si>
  <si>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</si>
  <si>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</si>
  <si>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</si>
  <si>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</si>
  <si>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</si>
  <si>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</si>
  <si>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</si>
  <si>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</si>
  <si>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</si>
  <si>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</si>
  <si>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</si>
  <si>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</si>
  <si>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</si>
  <si>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</si>
  <si>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</si>
  <si>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</si>
  <si>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</si>
  <si>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</si>
  <si>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</si>
  <si>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</si>
  <si>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</si>
  <si>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</si>
  <si>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</si>
  <si>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</si>
  <si>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</si>
  <si>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</si>
  <si>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</si>
  <si>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</si>
  <si>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</si>
  <si>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</si>
  <si>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</si>
  <si>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</si>
  <si>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</si>
  <si>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</si>
  <si>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</si>
  <si>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</si>
  <si>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</si>
  <si>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</si>
  <si>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</si>
  <si>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</si>
  <si>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</si>
  <si>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</si>
  <si>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</si>
  <si>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</si>
  <si>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</si>
  <si>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</si>
  <si>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</si>
  <si>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</si>
  <si>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</si>
  <si>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</si>
  <si>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</si>
  <si>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</si>
  <si>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</si>
  <si>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</si>
  <si>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</si>
  <si>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</si>
  <si>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</si>
  <si>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</si>
  <si>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</si>
  <si>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</si>
  <si>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</si>
  <si>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</si>
  <si>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</si>
  <si>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</si>
  <si>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</si>
  <si>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</si>
  <si>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</si>
  <si>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</si>
  <si>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</si>
  <si>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</si>
  <si>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</si>
  <si>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</si>
  <si>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</si>
  <si>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</si>
  <si>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</si>
  <si>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</si>
  <si>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</si>
  <si>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</si>
  <si>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</si>
  <si>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</si>
  <si>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</si>
  <si>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</si>
  <si>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</si>
  <si>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</si>
  <si>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</si>
  <si>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</si>
  <si>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</si>
  <si>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</si>
  <si>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</si>
  <si>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</si>
  <si>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</si>
  <si>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</si>
  <si>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</si>
  <si>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</si>
  <si>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</si>
  <si>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</si>
  <si>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</si>
  <si>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</si>
  <si>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</si>
  <si>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</si>
  <si>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</si>
  <si>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</si>
  <si>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</si>
  <si>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</si>
  <si>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</si>
  <si>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</si>
  <si>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</si>
  <si>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</si>
  <si>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</si>
  <si>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</si>
  <si>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</si>
  <si>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</si>
  <si>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</si>
  <si>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</si>
  <si>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</si>
  <si>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</si>
  <si>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</si>
  <si>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</si>
  <si>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</si>
  <si>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</si>
  <si>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</si>
  <si>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</si>
  <si>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</si>
  <si>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</si>
  <si>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</si>
  <si>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</si>
  <si>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</si>
  <si>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</si>
  <si>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</si>
  <si>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</si>
  <si>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</si>
  <si>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</si>
  <si>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</si>
  <si>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</si>
  <si>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</si>
  <si>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</si>
  <si>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</si>
  <si>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</si>
  <si>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</si>
  <si>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</si>
  <si>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</si>
  <si>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</si>
  <si>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</si>
  <si>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</si>
  <si>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</si>
  <si>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</si>
  <si>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</si>
  <si>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</si>
  <si>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</si>
  <si>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</si>
  <si>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</si>
  <si>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</si>
  <si>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</si>
  <si>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</si>
  <si>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</si>
  <si>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</si>
  <si>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</si>
  <si>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</si>
  <si>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</si>
  <si>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</si>
  <si>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</si>
  <si>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</si>
  <si>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</si>
  <si>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</si>
  <si>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</si>
  <si>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</si>
  <si>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</si>
  <si>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</si>
  <si>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</si>
  <si>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</si>
  <si>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</si>
  <si>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</si>
  <si>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</si>
  <si>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</si>
  <si>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</si>
  <si>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</si>
  <si>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</si>
  <si>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</si>
  <si>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</si>
  <si>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</si>
  <si>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</si>
  <si>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</si>
  <si>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</si>
  <si>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</si>
  <si>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</si>
  <si>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</si>
  <si>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</si>
  <si>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</si>
  <si>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</si>
  <si>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</si>
  <si>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</si>
  <si>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</si>
  <si>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</si>
  <si>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</si>
  <si>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</si>
  <si>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</si>
  <si>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</si>
  <si>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</si>
  <si>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</si>
  <si>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</si>
  <si>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</si>
  <si>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</si>
  <si>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</si>
  <si>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</si>
  <si>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</si>
  <si>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</si>
  <si>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</si>
  <si>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</si>
  <si>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</si>
  <si>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</si>
  <si>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</si>
  <si>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</si>
  <si>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</si>
  <si>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</si>
  <si>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</si>
  <si>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</si>
  <si>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</si>
  <si>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</si>
  <si>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</si>
  <si>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</si>
  <si>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</si>
  <si>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</si>
  <si>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</si>
  <si>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</si>
  <si>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</si>
  <si>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</si>
  <si>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</si>
  <si>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</si>
  <si>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</si>
  <si>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</si>
  <si>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</si>
  <si>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</si>
  <si>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</si>
  <si>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</si>
  <si>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</si>
  <si>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</si>
  <si>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</si>
  <si>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</si>
  <si>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</si>
  <si>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</si>
  <si>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</si>
  <si>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</si>
  <si>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</si>
  <si>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</si>
  <si>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</si>
  <si>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</si>
  <si>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</si>
  <si>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</si>
  <si>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</si>
  <si>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</si>
  <si>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</si>
  <si>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</si>
  <si>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</si>
  <si>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</si>
  <si>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</si>
  <si>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</si>
  <si>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</si>
  <si>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</si>
  <si>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</si>
  <si>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</si>
  <si>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</si>
  <si>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</si>
  <si>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</si>
  <si>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</si>
  <si>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</si>
  <si>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</si>
  <si>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</si>
  <si>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</si>
  <si>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</si>
  <si>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</si>
  <si>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</si>
  <si>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</si>
  <si>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</si>
  <si>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</si>
  <si>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</si>
  <si>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</si>
  <si>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</si>
  <si>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</si>
  <si>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</si>
  <si>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</si>
  <si>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</si>
  <si>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</si>
  <si>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</si>
  <si>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</si>
  <si>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</si>
  <si>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</si>
  <si>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</si>
  <si>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</si>
  <si>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</si>
  <si>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</si>
  <si>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</si>
  <si>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</si>
  <si>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</si>
  <si>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</si>
  <si>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</si>
  <si>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</si>
  <si>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</si>
  <si>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</si>
  <si>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</si>
  <si>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</si>
  <si>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</si>
  <si>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</si>
  <si>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</si>
  <si>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</si>
  <si>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</si>
  <si>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</si>
  <si>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</si>
  <si>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</si>
  <si>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</si>
  <si>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</si>
  <si>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</si>
  <si>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</si>
  <si>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</si>
  <si>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</si>
  <si>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</si>
  <si>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</si>
  <si>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</si>
  <si>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</si>
  <si>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</si>
  <si>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</si>
  <si>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</si>
  <si>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</si>
  <si>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</si>
  <si>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</si>
  <si>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</si>
  <si>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</si>
  <si>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</si>
  <si>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</si>
  <si>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</si>
  <si>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</si>
  <si>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</si>
  <si>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</si>
  <si>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</si>
  <si>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</si>
  <si>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</si>
  <si>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</si>
  <si>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</si>
  <si>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</si>
  <si>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</si>
  <si>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</si>
  <si>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</si>
  <si>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</si>
  <si>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</si>
  <si>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</si>
  <si>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</si>
  <si>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</si>
  <si>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</si>
  <si>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</si>
  <si>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</si>
  <si>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</si>
  <si>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</si>
  <si>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</si>
  <si>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</si>
  <si>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</si>
  <si>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</si>
  <si>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</si>
  <si>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</si>
  <si>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</si>
  <si>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</si>
  <si>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</si>
  <si>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</si>
  <si>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</si>
  <si>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</si>
  <si>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</si>
  <si>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</si>
  <si>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</si>
  <si>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</si>
  <si>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</si>
  <si>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</si>
  <si>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</si>
  <si>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</si>
  <si>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</si>
  <si>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</si>
  <si>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</si>
  <si>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</si>
  <si>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</si>
  <si>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</si>
  <si>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</si>
  <si>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</si>
  <si>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</si>
  <si>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</si>
  <si>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</si>
  <si>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</si>
  <si>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</si>
  <si>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</si>
  <si>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</si>
  <si>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</si>
  <si>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</si>
  <si>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</si>
  <si>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</si>
  <si>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</si>
  <si>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</si>
  <si>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</si>
  <si>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</si>
  <si>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</si>
  <si>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</si>
  <si>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</si>
  <si>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</si>
  <si>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</si>
  <si>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</si>
  <si>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</si>
  <si>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</si>
  <si>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</si>
  <si>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</si>
  <si>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</si>
  <si>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</si>
  <si>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</si>
  <si>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</si>
  <si>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</si>
  <si>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</si>
  <si>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</si>
  <si>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</si>
  <si>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</si>
  <si>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</si>
  <si>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</si>
  <si>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</si>
  <si>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</si>
  <si>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</si>
  <si>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</si>
  <si>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</si>
  <si>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</si>
  <si>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</si>
  <si>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</si>
  <si>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</si>
  <si>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</si>
  <si>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</si>
  <si>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</si>
  <si>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</si>
  <si>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</si>
  <si>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</si>
  <si>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</si>
  <si>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</si>
  <si>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</si>
  <si>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</si>
  <si>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</si>
  <si>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</si>
  <si>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</si>
  <si>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</si>
  <si>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</si>
  <si>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</si>
  <si>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</si>
  <si>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</si>
  <si>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</si>
  <si>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</si>
  <si>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</si>
  <si>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</si>
  <si>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</si>
  <si>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</si>
  <si>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</si>
  <si>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</si>
  <si>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</si>
  <si>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</si>
  <si>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</si>
  <si>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</si>
  <si>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</si>
  <si>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</si>
  <si>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</si>
  <si>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</si>
  <si>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</si>
  <si>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</si>
  <si>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</si>
  <si>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</si>
  <si>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</si>
  <si>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</si>
  <si>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</si>
  <si>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</si>
  <si>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</si>
  <si>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</si>
  <si>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</si>
  <si>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</si>
  <si>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</si>
  <si>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</si>
  <si>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</si>
  <si>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</si>
  <si>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</si>
  <si>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</si>
  <si>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</si>
  <si>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</si>
  <si>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</si>
  <si>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</si>
  <si>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</si>
  <si>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</si>
  <si>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</si>
  <si>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</si>
  <si>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</si>
  <si>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</si>
  <si>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</si>
  <si>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</si>
  <si>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</si>
  <si>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</si>
  <si>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</si>
  <si>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</si>
  <si>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</si>
  <si>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</si>
  <si>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</si>
  <si>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</si>
  <si>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</si>
  <si>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</si>
  <si>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</si>
  <si>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</si>
  <si>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</si>
  <si>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</si>
  <si>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</si>
  <si>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</si>
  <si>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</si>
  <si>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</si>
  <si>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</si>
  <si>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</si>
  <si>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</si>
  <si>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</si>
  <si>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</si>
  <si>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</si>
  <si>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</si>
  <si>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</si>
  <si>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</si>
  <si>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</si>
  <si>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</si>
  <si>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</si>
  <si>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</si>
  <si>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</si>
  <si>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</si>
  <si>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</si>
  <si>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</si>
  <si>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</si>
  <si>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</si>
  <si>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</si>
  <si>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</si>
  <si>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</si>
  <si>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</si>
  <si>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</si>
  <si>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</si>
  <si>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</si>
  <si>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</si>
  <si>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</si>
  <si>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</si>
  <si>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</si>
  <si>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</si>
  <si>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</si>
  <si>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</si>
  <si>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</si>
  <si>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</si>
  <si>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</si>
  <si>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</si>
  <si>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</si>
  <si>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</si>
  <si>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</si>
  <si>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</si>
  <si>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</si>
  <si>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</si>
  <si>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</si>
  <si>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</si>
  <si>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</si>
  <si>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</si>
  <si>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</si>
  <si>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</si>
  <si>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</si>
  <si>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</si>
  <si>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</si>
  <si>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</si>
  <si>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</si>
  <si>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</si>
  <si>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</si>
  <si>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</si>
  <si>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</si>
  <si>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</si>
  <si>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</si>
  <si>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</si>
  <si>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</si>
  <si>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</si>
  <si>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</si>
  <si>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</si>
  <si>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</si>
  <si>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</si>
  <si>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</si>
  <si>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</si>
  <si>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</si>
  <si>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</si>
  <si>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</si>
  <si>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</si>
  <si>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</si>
  <si>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</si>
  <si>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</si>
  <si>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</si>
  <si>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</si>
  <si>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</si>
  <si>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</si>
  <si>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</si>
  <si>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</si>
  <si>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</si>
  <si>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</si>
  <si>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</si>
  <si>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</si>
  <si>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</si>
  <si>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</si>
  <si>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</si>
  <si>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</si>
  <si>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</si>
  <si>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</si>
  <si>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</si>
  <si>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</si>
  <si>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</si>
  <si>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</si>
  <si>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</si>
  <si>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</si>
  <si>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</si>
  <si>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</si>
  <si>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</si>
  <si>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</si>
  <si>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</si>
  <si>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</si>
  <si>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</si>
  <si>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</si>
  <si>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</si>
  <si>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</si>
  <si>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</si>
  <si>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</si>
  <si>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</si>
  <si>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</si>
  <si>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</si>
  <si>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</si>
  <si>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</si>
  <si>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</si>
  <si>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</si>
  <si>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</si>
  <si>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</si>
  <si>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</si>
  <si>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</si>
  <si>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</si>
  <si>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</si>
  <si>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</si>
  <si>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</si>
  <si>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</si>
  <si>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</si>
  <si>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</si>
  <si>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</si>
  <si>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</si>
  <si>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</si>
  <si>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</si>
  <si>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</si>
  <si>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</si>
  <si>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</si>
  <si>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</si>
  <si>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</si>
  <si>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</si>
  <si>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</si>
  <si>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</si>
  <si>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</si>
  <si>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</si>
  <si>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</si>
  <si>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</si>
  <si>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</si>
  <si>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</si>
  <si>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</si>
  <si>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</si>
  <si>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</si>
  <si>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</si>
  <si>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</si>
  <si>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</si>
  <si>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</si>
  <si>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</si>
  <si>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</si>
  <si>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</si>
  <si>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</si>
  <si>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</si>
  <si>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</si>
  <si>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</si>
  <si>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</si>
  <si>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</si>
  <si>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</si>
  <si>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</si>
  <si>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</si>
  <si>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</si>
  <si>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</si>
  <si>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</si>
  <si>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</si>
  <si>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</si>
  <si>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</si>
  <si>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</si>
  <si>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</si>
  <si>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</si>
  <si>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</si>
  <si>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</si>
  <si>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</si>
  <si>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</si>
  <si>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</si>
  <si>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</si>
  <si>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</si>
  <si>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</si>
  <si>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</si>
  <si>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</si>
  <si>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</si>
  <si>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</si>
  <si>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</si>
  <si>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</si>
  <si>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</si>
  <si>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</si>
  <si>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</si>
  <si>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</si>
  <si>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</si>
  <si>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</si>
  <si>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</si>
  <si>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</si>
  <si>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</si>
  <si>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</si>
  <si>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</si>
  <si>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</si>
  <si>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</si>
  <si>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</si>
  <si>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</si>
  <si>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</si>
  <si>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</si>
  <si>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</si>
  <si>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</si>
  <si>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</si>
  <si>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</si>
  <si>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</si>
  <si>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</si>
  <si>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</si>
  <si>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</si>
  <si>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</si>
  <si>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</si>
  <si>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</si>
  <si>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</si>
  <si>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</si>
  <si>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</si>
  <si>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</si>
  <si>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</si>
  <si>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</si>
  <si>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</si>
  <si>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</si>
  <si>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</si>
  <si>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</si>
  <si>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</si>
  <si>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</si>
  <si>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</si>
  <si>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</si>
  <si>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</si>
  <si>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</si>
  <si>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</si>
  <si>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</si>
  <si>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</si>
  <si>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</si>
  <si>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</si>
  <si>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</si>
  <si>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</si>
  <si>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</si>
  <si>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</si>
  <si>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</si>
  <si>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</si>
  <si>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</si>
  <si>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</si>
  <si>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</si>
  <si>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</si>
  <si>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</si>
  <si>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</si>
  <si>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</si>
  <si>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</si>
  <si>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</si>
  <si>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</si>
  <si>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</si>
  <si>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</si>
  <si>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</si>
  <si>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</si>
  <si>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</si>
  <si>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</si>
  <si>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</si>
  <si>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</si>
  <si>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</si>
  <si>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</si>
  <si>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</si>
  <si>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</si>
  <si>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</si>
  <si>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</si>
  <si>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</si>
  <si>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</si>
  <si>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</si>
  <si>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</si>
  <si>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</si>
  <si>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</si>
  <si>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</si>
  <si>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</si>
  <si>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</si>
  <si>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</si>
  <si>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</si>
  <si>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</si>
  <si>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</si>
  <si>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</si>
  <si>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</si>
  <si>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</si>
  <si>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</si>
  <si>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</si>
  <si>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</si>
  <si>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</si>
  <si>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</si>
  <si>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</si>
  <si>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</si>
  <si>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</si>
  <si>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</si>
  <si>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</si>
  <si>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</si>
  <si>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</si>
  <si>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</si>
  <si>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</si>
  <si>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</si>
  <si>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</si>
  <si>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</si>
  <si>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</si>
  <si>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</si>
  <si>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</si>
  <si>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</si>
  <si>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</si>
  <si>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</si>
  <si>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</si>
  <si>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</si>
  <si>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</si>
  <si>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</si>
  <si>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</si>
  <si>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</si>
  <si>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</si>
  <si>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</si>
  <si>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</si>
  <si>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</si>
  <si>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</si>
  <si>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</si>
  <si>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</si>
  <si>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</si>
  <si>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</si>
  <si>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</si>
  <si>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</si>
  <si>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</si>
  <si>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</si>
  <si>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</si>
  <si>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</si>
  <si>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</si>
  <si>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</si>
  <si>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</si>
  <si>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</si>
  <si>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</si>
  <si>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</si>
  <si>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</si>
  <si>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</si>
  <si>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</si>
  <si>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</si>
  <si>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</si>
  <si>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</si>
  <si>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</si>
  <si>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</si>
  <si>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</si>
  <si>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</si>
  <si>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</si>
  <si>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</si>
  <si>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</si>
  <si>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</si>
  <si>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</si>
  <si>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</si>
  <si>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</si>
  <si>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</si>
  <si>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</si>
  <si>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</si>
  <si>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</si>
  <si>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</si>
  <si>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</si>
  <si>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</si>
  <si>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</si>
  <si>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</si>
  <si>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</si>
  <si>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</si>
  <si>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</si>
  <si>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</si>
  <si>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</si>
  <si>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</si>
  <si>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</si>
  <si>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</si>
  <si>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</si>
  <si>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</si>
  <si>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</si>
  <si>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</si>
  <si>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</si>
  <si>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</si>
  <si>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</si>
  <si>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</si>
  <si>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</si>
  <si>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</si>
  <si>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</si>
  <si>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</si>
  <si>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</si>
  <si>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</si>
  <si>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</si>
  <si>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</si>
  <si>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</si>
  <si>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</si>
  <si>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</si>
  <si>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</si>
  <si>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</si>
  <si>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</si>
  <si>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</si>
  <si>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</si>
  <si>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</si>
  <si>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</si>
  <si>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</si>
  <si>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</si>
  <si>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</si>
  <si>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</si>
  <si>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</si>
  <si>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</si>
  <si>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</si>
  <si>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</si>
  <si>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</si>
  <si>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</si>
  <si>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</si>
  <si>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</si>
  <si>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</si>
  <si>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</si>
  <si>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</si>
  <si>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</si>
  <si>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</si>
  <si>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</si>
  <si>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</si>
  <si>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</si>
  <si>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</si>
  <si>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</si>
  <si>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</si>
  <si>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</si>
  <si>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</si>
  <si>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</si>
  <si>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</si>
  <si>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</si>
  <si>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</si>
  <si>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</si>
  <si>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</si>
  <si>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</si>
  <si>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</si>
  <si>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</si>
  <si>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</si>
  <si>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</si>
  <si>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</si>
  <si>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</si>
  <si>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</si>
  <si>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</si>
  <si>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</si>
  <si>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</si>
  <si>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</si>
  <si>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</si>
  <si>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</si>
  <si>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</si>
  <si>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</si>
  <si>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</si>
  <si>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</si>
  <si>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</si>
  <si>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</si>
  <si>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</si>
  <si>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</si>
  <si>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</si>
  <si>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</si>
  <si>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</si>
  <si>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</si>
  <si>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</si>
  <si>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</si>
  <si>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</si>
  <si>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</si>
  <si>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</si>
  <si>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</si>
  <si>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</si>
  <si>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</si>
  <si>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</si>
  <si>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</si>
  <si>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</si>
  <si>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</si>
  <si>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</si>
  <si>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</si>
  <si>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</si>
  <si>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</si>
  <si>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</si>
  <si>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</si>
  <si>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</si>
  <si>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</si>
  <si>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</si>
  <si>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</si>
  <si>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</si>
  <si>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</si>
  <si>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</si>
  <si>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</si>
  <si>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</si>
  <si>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</si>
  <si>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</si>
  <si>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</si>
  <si>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</si>
  <si>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</si>
  <si>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</si>
  <si>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</si>
  <si>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</si>
  <si>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</si>
  <si>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</si>
  <si>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</si>
  <si>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</si>
  <si>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</si>
  <si>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</si>
  <si>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</si>
  <si>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</si>
  <si>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</si>
  <si>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</si>
  <si>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</si>
  <si>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</si>
  <si>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</si>
  <si>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</si>
  <si>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</si>
  <si>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</si>
  <si>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</si>
  <si>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</si>
  <si>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</si>
  <si>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</si>
  <si>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</si>
  <si>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</si>
  <si>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</si>
  <si>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</si>
  <si>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</si>
  <si>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</si>
  <si>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</si>
  <si>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</si>
  <si>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</si>
  <si>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</si>
  <si>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</si>
  <si>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</si>
  <si>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</si>
  <si>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</si>
  <si>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</si>
  <si>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</si>
  <si>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</si>
  <si>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</si>
  <si>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</si>
  <si>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</si>
  <si>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</si>
  <si>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</si>
  <si>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</si>
  <si>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</si>
  <si>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</si>
  <si>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</si>
  <si>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</si>
  <si>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</si>
  <si>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</si>
  <si>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</si>
  <si>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</si>
  <si>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</si>
  <si>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</si>
  <si>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</si>
  <si>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</si>
  <si>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</si>
  <si>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</si>
  <si>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</si>
  <si>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</si>
  <si>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</si>
  <si>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</si>
  <si>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</si>
  <si>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</si>
  <si>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</si>
  <si>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</si>
  <si>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</si>
  <si>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</si>
  <si>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</si>
  <si>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</si>
  <si>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</si>
  <si>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</si>
  <si>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</si>
  <si>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</si>
  <si>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</si>
  <si>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</si>
  <si>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</si>
  <si>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</si>
  <si>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</si>
  <si>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</si>
  <si>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</si>
  <si>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</si>
  <si>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</si>
  <si>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</si>
  <si>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</si>
  <si>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</si>
  <si>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</si>
  <si>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</si>
  <si>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</si>
  <si>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</si>
  <si>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</si>
  <si>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</si>
  <si>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</si>
  <si>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</si>
  <si>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</si>
  <si>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</si>
  <si>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</si>
  <si>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</si>
  <si>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</si>
  <si>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</si>
  <si>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</si>
  <si>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</si>
  <si>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</si>
  <si>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</si>
  <si>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</si>
  <si>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</si>
  <si>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</si>
  <si>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</si>
  <si>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</si>
  <si>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</si>
  <si>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</si>
  <si>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</si>
  <si>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</si>
  <si>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</si>
  <si>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</si>
  <si>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</si>
  <si>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</si>
  <si>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</si>
  <si>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</si>
  <si>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</si>
  <si>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</si>
  <si>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</si>
  <si>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</si>
  <si>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</si>
  <si>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</si>
  <si>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</si>
  <si>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</si>
  <si>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</si>
  <si>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</si>
  <si>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</si>
  <si>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</si>
  <si>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</si>
  <si>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</si>
  <si>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</si>
  <si>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</si>
  <si>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</si>
  <si>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</si>
  <si>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</si>
  <si>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</si>
  <si>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</si>
  <si>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</si>
  <si>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</si>
  <si>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</si>
  <si>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</si>
  <si>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</si>
  <si>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</si>
  <si>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</si>
  <si>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</si>
  <si>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</si>
  <si>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</si>
  <si>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</si>
  <si>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</si>
  <si>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</si>
  <si>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</si>
  <si>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</si>
  <si>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</si>
  <si>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</si>
  <si>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</si>
  <si>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</si>
  <si>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</si>
  <si>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</si>
  <si>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</si>
  <si>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</si>
  <si>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</si>
  <si>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</si>
  <si>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</si>
  <si>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</si>
  <si>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</si>
  <si>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</si>
  <si>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</si>
  <si>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</si>
  <si>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</si>
  <si>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</si>
  <si>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</si>
  <si>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</si>
  <si>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</si>
  <si>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</si>
  <si>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</si>
  <si>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</si>
  <si>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</si>
  <si>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</si>
  <si>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</si>
  <si>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</si>
  <si>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</si>
  <si>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</si>
  <si>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</si>
  <si>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</si>
  <si>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</si>
  <si>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</si>
  <si>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</si>
  <si>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</si>
  <si>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</si>
  <si>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</si>
  <si>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</si>
  <si>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</si>
  <si>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</si>
  <si>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</si>
  <si>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</si>
  <si>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</si>
  <si>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</si>
  <si>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</si>
  <si>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</si>
  <si>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</si>
  <si>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</si>
  <si>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</si>
  <si>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</si>
  <si>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</si>
  <si>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</si>
  <si>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</si>
  <si>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</si>
  <si>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</si>
  <si>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</si>
  <si>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</si>
  <si>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</si>
  <si>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</si>
  <si>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</si>
  <si>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</si>
  <si>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</si>
  <si>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</si>
  <si>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</si>
  <si>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</si>
  <si>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</si>
  <si>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</si>
  <si>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</si>
  <si>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</si>
  <si>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</si>
  <si>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</si>
  <si>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</si>
  <si>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</si>
  <si>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</si>
  <si>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</si>
  <si>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</si>
  <si>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</si>
  <si>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</si>
  <si>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</si>
  <si>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</si>
  <si>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</si>
  <si>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</si>
  <si>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</si>
  <si>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</si>
  <si>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</si>
  <si>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</si>
  <si>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</si>
  <si>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</si>
  <si>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</si>
  <si>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</si>
  <si>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</si>
  <si>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</si>
  <si>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</si>
  <si>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</si>
  <si>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</si>
  <si>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</si>
  <si>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</si>
  <si>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</si>
  <si>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</si>
  <si>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</si>
  <si>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</si>
  <si>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</si>
  <si>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</si>
  <si>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</si>
  <si>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</si>
  <si>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</si>
  <si>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</si>
  <si>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</si>
  <si>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</si>
  <si>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</si>
  <si>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</si>
  <si>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</si>
  <si>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</si>
  <si>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</si>
  <si>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</si>
  <si>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</si>
  <si>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</si>
  <si>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</si>
  <si>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</si>
  <si>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</si>
  <si>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</si>
  <si>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</si>
  <si>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</si>
  <si>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</si>
  <si>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</si>
  <si>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</si>
  <si>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</si>
  <si>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</si>
  <si>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</si>
  <si>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</si>
  <si>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</si>
  <si>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</si>
  <si>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</si>
  <si>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</si>
  <si>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</si>
  <si>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</si>
  <si>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</si>
  <si>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</si>
  <si>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</si>
  <si>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</si>
  <si>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</si>
  <si>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</si>
  <si>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</si>
  <si>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</si>
  <si>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</si>
  <si>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</si>
  <si>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</si>
  <si>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</si>
  <si>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</si>
  <si>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</si>
  <si>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</si>
  <si>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</si>
  <si>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</si>
  <si>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</si>
  <si>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</si>
  <si>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</si>
  <si>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</si>
  <si>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</si>
  <si>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</si>
  <si>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</si>
  <si>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</si>
  <si>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</si>
  <si>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</si>
  <si>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</si>
  <si>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</si>
  <si>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</si>
  <si>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</si>
  <si>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</si>
  <si>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</si>
  <si>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</si>
  <si>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</si>
  <si>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</si>
  <si>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</si>
  <si>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</si>
  <si>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</si>
  <si>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</si>
  <si>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</si>
  <si>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</si>
  <si>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</si>
  <si>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</si>
  <si>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</si>
  <si>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</si>
  <si>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</si>
  <si>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</si>
  <si>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</si>
  <si>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</si>
  <si>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</si>
  <si>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</si>
  <si>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</si>
  <si>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</si>
  <si>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</si>
  <si>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</si>
  <si>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</si>
  <si>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</si>
  <si>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</si>
  <si>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</si>
  <si>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</si>
  <si>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</si>
  <si>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</si>
  <si>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</si>
  <si>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</si>
  <si>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</si>
  <si>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</si>
  <si>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</si>
  <si>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</si>
  <si>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</si>
  <si>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</si>
  <si>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</si>
  <si>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</si>
  <si>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</si>
  <si>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</si>
  <si>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</si>
  <si>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</si>
  <si>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</si>
  <si>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</si>
  <si>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</si>
  <si>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</si>
  <si>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</si>
  <si>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</si>
  <si>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</si>
  <si>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</si>
  <si>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</si>
  <si>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</si>
  <si>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</si>
  <si>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</si>
  <si>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</si>
  <si>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</si>
  <si>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</si>
  <si>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</si>
  <si>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</si>
  <si>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</si>
  <si>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</si>
  <si>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</si>
  <si>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</si>
  <si>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</si>
  <si>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</si>
  <si>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</si>
  <si>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</si>
  <si>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</si>
  <si>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</si>
  <si>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</si>
  <si>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</si>
  <si>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</si>
  <si>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</si>
  <si>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</si>
  <si>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</si>
  <si>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</si>
  <si>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</si>
  <si>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</si>
  <si>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</si>
  <si>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</si>
  <si>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</si>
  <si>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</si>
  <si>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</si>
  <si>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</si>
  <si>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</si>
  <si>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</si>
  <si>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</si>
  <si>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</si>
  <si>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</si>
  <si>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</si>
  <si>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</si>
  <si>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</si>
  <si>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</si>
  <si>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</si>
  <si>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</si>
  <si>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</si>
  <si>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</si>
  <si>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</si>
  <si>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</si>
  <si>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</si>
  <si>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</si>
  <si>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</si>
  <si>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</si>
  <si>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</si>
  <si>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</si>
  <si>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</si>
  <si>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</si>
  <si>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</si>
  <si>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</si>
  <si>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</si>
  <si>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</si>
  <si>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</si>
  <si>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</si>
  <si>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</si>
  <si>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</si>
  <si>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</si>
  <si>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</si>
  <si>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</si>
  <si>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</si>
  <si>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</si>
  <si>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</si>
  <si>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</si>
  <si>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</si>
  <si>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</si>
  <si>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</si>
  <si>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</si>
  <si>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</si>
  <si>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</si>
  <si>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</si>
  <si>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</si>
  <si>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</si>
  <si>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</si>
  <si>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</si>
  <si>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</si>
  <si>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</si>
  <si>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</si>
  <si>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</si>
  <si>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</si>
  <si>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</si>
  <si>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</si>
  <si>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</si>
  <si>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</si>
  <si>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</si>
  <si>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</si>
  <si>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</si>
  <si>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</si>
  <si>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</si>
  <si>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</si>
  <si>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</si>
  <si>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</si>
  <si>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</si>
  <si>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</si>
  <si>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</si>
  <si>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</si>
  <si>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</si>
  <si>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</si>
  <si>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</si>
  <si>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</si>
  <si>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</si>
  <si>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</si>
  <si>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</si>
  <si>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</si>
  <si>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</si>
  <si>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</si>
  <si>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</si>
  <si>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</si>
  <si>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</si>
  <si>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</si>
  <si>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</si>
  <si>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</si>
  <si>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</si>
  <si>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</si>
  <si>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</si>
  <si>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</si>
  <si>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</si>
  <si>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</si>
  <si>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</si>
  <si>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</si>
  <si>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</si>
  <si>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</si>
  <si>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</si>
  <si>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</si>
  <si>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</si>
  <si>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</si>
  <si>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</si>
  <si>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</si>
  <si>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</si>
  <si>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</si>
  <si>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</si>
  <si>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</si>
  <si>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</si>
  <si>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</si>
  <si>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</si>
  <si>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</si>
  <si>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</si>
  <si>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</si>
  <si>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</si>
  <si>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</si>
  <si>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</si>
  <si>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</si>
  <si>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</si>
  <si>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</si>
  <si>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</si>
  <si>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</si>
  <si>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</si>
  <si>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</si>
  <si>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</si>
  <si>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</si>
  <si>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</si>
  <si>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</si>
  <si>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</si>
  <si>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</si>
  <si>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</si>
  <si>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</si>
  <si>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</si>
  <si>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</si>
  <si>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</si>
  <si>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</si>
  <si>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</si>
  <si>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</si>
  <si>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</si>
  <si>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</si>
  <si>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</si>
  <si>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</si>
  <si>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</si>
  <si>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</si>
  <si>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</si>
  <si>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</si>
  <si>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</si>
  <si>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</si>
  <si>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</si>
  <si>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</si>
  <si>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</si>
  <si>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</si>
  <si>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</si>
  <si>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</si>
  <si>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</si>
  <si>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</si>
  <si>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</si>
  <si>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</si>
  <si>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</si>
  <si>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</si>
  <si>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</si>
  <si>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</si>
  <si>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</si>
  <si>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</si>
  <si>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</si>
  <si>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</si>
  <si>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</si>
  <si>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</si>
  <si>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</si>
  <si>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</si>
  <si>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</si>
  <si>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</si>
  <si>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</si>
  <si>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</si>
  <si>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</si>
  <si>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</si>
  <si>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</si>
  <si>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</si>
  <si>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</si>
  <si>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</si>
  <si>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</si>
  <si>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</si>
  <si>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</si>
  <si>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</si>
  <si>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</si>
  <si>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</si>
  <si>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</si>
  <si>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</si>
  <si>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</si>
  <si>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</si>
  <si>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</si>
  <si>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</si>
  <si>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</si>
  <si>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</si>
  <si>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</si>
  <si>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</si>
  <si>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</si>
  <si>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</si>
  <si>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</si>
  <si>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</si>
  <si>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</si>
  <si>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</si>
  <si>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</si>
  <si>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</si>
  <si>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</si>
  <si>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</si>
  <si>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</si>
  <si>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</si>
  <si>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</si>
  <si>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</si>
  <si>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</si>
  <si>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</si>
  <si>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</si>
  <si>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</si>
  <si>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</si>
  <si>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</si>
  <si>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</si>
  <si>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</si>
  <si>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</si>
  <si>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</si>
  <si>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</si>
  <si>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</si>
  <si>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</si>
  <si>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</si>
  <si>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</si>
  <si>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</si>
  <si>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</si>
  <si>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</si>
  <si>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</si>
  <si>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</si>
  <si>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</si>
  <si>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</si>
  <si>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</si>
  <si>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</si>
  <si>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</si>
  <si>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</si>
  <si>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</si>
  <si>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</si>
  <si>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</si>
  <si>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</si>
  <si>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</si>
  <si>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</si>
  <si>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</si>
  <si>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</si>
  <si>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</si>
  <si>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</si>
  <si>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</si>
  <si>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</si>
  <si>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</si>
  <si>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</si>
  <si>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</si>
  <si>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</si>
  <si>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</si>
  <si>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</si>
  <si>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</si>
  <si>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</si>
  <si>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</si>
  <si>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</si>
  <si>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</si>
  <si>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</si>
  <si>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</si>
  <si>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</si>
  <si>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</si>
  <si>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</si>
  <si>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</si>
  <si>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</si>
  <si>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</si>
  <si>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</si>
  <si>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</si>
  <si>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</si>
  <si>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</si>
  <si>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</si>
  <si>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</si>
  <si>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</si>
  <si>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</si>
  <si>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</si>
  <si>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</si>
  <si>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</si>
  <si>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</si>
  <si>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</si>
  <si>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</si>
  <si>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</si>
  <si>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</si>
  <si>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</si>
  <si>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</si>
  <si>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</si>
  <si>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</si>
  <si>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</si>
  <si>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</si>
  <si>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</si>
  <si>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</si>
  <si>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</si>
  <si>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</si>
  <si>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</si>
  <si>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</si>
  <si>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</si>
  <si>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</si>
  <si>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</si>
  <si>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</si>
  <si>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</si>
  <si>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</si>
  <si>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</si>
  <si>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</si>
  <si>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</si>
  <si>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</si>
  <si>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</si>
  <si>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</si>
  <si>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</si>
  <si>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</si>
  <si>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</si>
  <si>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</si>
  <si>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</si>
  <si>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</si>
  <si>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</si>
  <si>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</si>
  <si>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</si>
  <si>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</si>
  <si>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</si>
  <si>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</si>
  <si>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</si>
  <si>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</si>
  <si>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</si>
  <si>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</si>
  <si>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</si>
  <si>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</si>
  <si>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</si>
  <si>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</si>
  <si>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</si>
  <si>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</si>
  <si>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</si>
  <si>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</si>
  <si>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</si>
  <si>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</si>
  <si>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</si>
  <si>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</si>
  <si>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</si>
  <si>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</si>
  <si>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</si>
  <si>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</si>
  <si>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</si>
  <si>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</si>
  <si>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</si>
  <si>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</si>
  <si>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</si>
  <si>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</si>
  <si>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</si>
  <si>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</si>
  <si>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</si>
  <si>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</si>
  <si>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</si>
  <si>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</si>
  <si>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</si>
  <si>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</si>
  <si>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</si>
  <si>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</si>
  <si>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</si>
  <si>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</si>
  <si>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</si>
  <si>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</si>
  <si>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</si>
  <si>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</si>
  <si>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</si>
  <si>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</si>
  <si>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</si>
  <si>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</si>
  <si>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</si>
  <si>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</si>
  <si>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</si>
  <si>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</si>
  <si>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</si>
  <si>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</si>
  <si>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</si>
  <si>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</si>
  <si>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</si>
  <si>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</si>
  <si>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</si>
  <si>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</si>
  <si>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</si>
  <si>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</si>
  <si>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</si>
  <si>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</si>
  <si>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</si>
  <si>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</si>
  <si>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</si>
  <si>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</si>
  <si>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</si>
  <si>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</si>
  <si>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</si>
  <si>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</si>
  <si>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</si>
  <si>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</si>
  <si>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</si>
  <si>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</si>
  <si>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</si>
  <si>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</si>
  <si>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</si>
  <si>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</si>
  <si>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</si>
  <si>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</si>
  <si>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</si>
  <si>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</si>
  <si>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</si>
  <si>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</si>
  <si>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</si>
  <si>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</si>
  <si>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</si>
  <si>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</si>
  <si>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</si>
  <si>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</si>
  <si>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</si>
  <si>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</si>
  <si>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</si>
  <si>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</si>
  <si>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</si>
  <si>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</si>
  <si>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</si>
  <si>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</si>
  <si>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</si>
  <si>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</si>
  <si>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</si>
  <si>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</si>
  <si>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</si>
  <si>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</si>
  <si>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</si>
  <si>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</si>
  <si>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</si>
  <si>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</si>
  <si>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</si>
  <si>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</si>
  <si>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</si>
  <si>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</si>
  <si>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</si>
  <si>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</si>
  <si>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</si>
  <si>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</si>
  <si>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</si>
  <si>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</si>
  <si>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</si>
  <si>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</si>
  <si>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</si>
  <si>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</si>
  <si>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</si>
  <si>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</si>
  <si>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</si>
  <si>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</si>
  <si>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</si>
  <si>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</si>
  <si>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</si>
  <si>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</si>
  <si>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</si>
  <si>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</si>
  <si>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</si>
  <si>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</si>
  <si>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</si>
  <si>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</si>
  <si>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</si>
  <si>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</si>
  <si>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</si>
  <si>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</si>
  <si>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</si>
  <si>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</si>
  <si>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</si>
  <si>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</si>
  <si>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</si>
  <si>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</si>
  <si>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</si>
  <si>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</si>
  <si>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</si>
  <si>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</si>
  <si>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</si>
  <si>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</si>
  <si>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</si>
  <si>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</si>
  <si>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</si>
  <si>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</si>
  <si>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</si>
  <si>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</si>
  <si>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</si>
  <si>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</si>
  <si>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</si>
  <si>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</si>
  <si>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</si>
  <si>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</si>
  <si>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</si>
  <si>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</si>
  <si>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</si>
  <si>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</si>
  <si>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</si>
  <si>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</si>
  <si>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</si>
  <si>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</si>
  <si>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</si>
  <si>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</si>
  <si>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</si>
  <si>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</si>
  <si>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</si>
  <si>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</si>
  <si>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</si>
  <si>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</si>
  <si>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</si>
  <si>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</si>
  <si>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</si>
  <si>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</si>
  <si>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</si>
  <si>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</si>
  <si>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</si>
  <si>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</si>
  <si>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</si>
  <si>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</si>
  <si>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</si>
  <si>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</si>
  <si>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</si>
  <si>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</si>
  <si>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</si>
  <si>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</si>
  <si>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</si>
  <si>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</si>
  <si>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</si>
  <si>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</si>
  <si>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</si>
  <si>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</si>
  <si>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</si>
  <si>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</si>
  <si>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</si>
  <si>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</si>
  <si>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</si>
  <si>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</si>
  <si>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</si>
  <si>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</si>
  <si>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</si>
  <si>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</si>
  <si>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</si>
  <si>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</si>
  <si>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</si>
  <si>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</si>
  <si>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</si>
  <si>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</si>
  <si>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</si>
  <si>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</si>
  <si>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</si>
  <si>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</si>
  <si>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</si>
  <si>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</si>
  <si>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</si>
  <si>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</si>
  <si>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</si>
  <si>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</si>
  <si>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</si>
  <si>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</si>
  <si>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</si>
  <si>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</si>
  <si>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</si>
  <si>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</si>
  <si>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</si>
  <si>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</si>
  <si>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</si>
  <si>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</si>
  <si>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</si>
  <si>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</si>
  <si>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</si>
  <si>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</si>
  <si>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</si>
  <si>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</si>
  <si>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</si>
  <si>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</si>
  <si>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</si>
  <si>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</si>
  <si>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</si>
  <si>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</si>
  <si>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</si>
  <si>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</si>
  <si>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</si>
  <si>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</si>
  <si>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</si>
  <si>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</si>
  <si>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</si>
  <si>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</si>
  <si>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</si>
  <si>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</si>
  <si>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</si>
  <si>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</si>
  <si>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</si>
  <si>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</si>
  <si>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</si>
  <si>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</si>
  <si>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</si>
  <si>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</si>
  <si>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</si>
  <si>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</si>
  <si>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</si>
  <si>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</si>
  <si>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</si>
  <si>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</si>
  <si>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</si>
  <si>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</si>
  <si>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</si>
  <si>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</si>
  <si>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</si>
  <si>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</si>
  <si>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</si>
  <si>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</si>
  <si>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</si>
  <si>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</si>
  <si>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</si>
  <si>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</si>
  <si>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</si>
  <si>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</si>
  <si>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</si>
  <si>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</si>
  <si>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</si>
  <si>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</si>
  <si>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</si>
  <si>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</si>
  <si>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</si>
  <si>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</si>
  <si>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</si>
  <si>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</si>
  <si>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</si>
  <si>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</si>
  <si>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</si>
  <si>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</si>
  <si>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</si>
  <si>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</si>
  <si>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</si>
  <si>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</si>
  <si>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</si>
  <si>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</si>
  <si>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</si>
  <si>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</si>
  <si>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</si>
  <si>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</si>
  <si>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</si>
  <si>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</si>
  <si>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</si>
  <si>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</si>
  <si>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</si>
  <si>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</si>
  <si>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</si>
  <si>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</si>
  <si>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</si>
  <si>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</si>
  <si>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</si>
  <si>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</si>
  <si>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</si>
  <si>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</si>
  <si>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</si>
  <si>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</si>
  <si>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</si>
  <si>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</si>
  <si>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</si>
  <si>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</si>
  <si>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</si>
  <si>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</si>
  <si>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</si>
  <si>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</si>
  <si>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</si>
  <si>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</si>
  <si>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</si>
  <si>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</si>
  <si>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</si>
  <si>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</si>
  <si>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</si>
  <si>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</si>
  <si>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</si>
  <si>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</si>
  <si>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</si>
  <si>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</si>
  <si>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</si>
  <si>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</si>
  <si>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</si>
  <si>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</si>
  <si>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</si>
  <si>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</si>
  <si>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</si>
  <si>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</si>
  <si>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</si>
  <si>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</si>
  <si>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</si>
  <si>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</si>
  <si>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</si>
  <si>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</si>
  <si>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</si>
  <si>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</si>
  <si>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</si>
  <si>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</si>
  <si>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</si>
  <si>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</si>
  <si>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</si>
  <si>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</si>
  <si>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</si>
  <si>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</si>
  <si>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</si>
  <si>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</si>
  <si>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</si>
  <si>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</si>
  <si>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</si>
  <si>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</si>
  <si>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</si>
  <si>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</si>
  <si>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</si>
  <si>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</si>
  <si>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</si>
  <si>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</si>
  <si>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</si>
  <si>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</si>
  <si>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</si>
  <si>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</si>
  <si>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</si>
  <si>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</si>
  <si>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</si>
  <si>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</si>
  <si>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</si>
  <si>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</si>
  <si>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</si>
  <si>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</si>
  <si>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</si>
  <si>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</si>
  <si>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</si>
  <si>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</si>
  <si>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</si>
  <si>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</si>
  <si>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</si>
  <si>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</si>
  <si>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</si>
  <si>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</si>
  <si>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</si>
  <si>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</si>
  <si>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</si>
  <si>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</si>
  <si>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</si>
  <si>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</si>
  <si>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</si>
  <si>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</si>
  <si>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</si>
  <si>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</si>
  <si>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</si>
  <si>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</si>
  <si>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</si>
  <si>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</si>
  <si>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</si>
  <si>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</si>
  <si>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</si>
  <si>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</si>
  <si>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</si>
  <si>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</si>
  <si>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</si>
  <si>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</si>
  <si>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</si>
  <si>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</si>
  <si>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</si>
  <si>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</si>
  <si>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</si>
  <si>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</si>
  <si>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</si>
  <si>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</si>
  <si>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</si>
  <si>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</si>
  <si>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</si>
  <si>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</si>
  <si>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</si>
  <si>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</si>
  <si>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</si>
  <si>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</si>
  <si>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</si>
  <si>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</si>
  <si>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</si>
  <si>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</si>
  <si>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</si>
  <si>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</si>
  <si>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</si>
  <si>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</si>
  <si>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</si>
  <si>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</si>
  <si>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</si>
  <si>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</si>
  <si>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</si>
  <si>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</si>
  <si>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</si>
  <si>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</si>
  <si>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</si>
  <si>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</si>
  <si>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</si>
  <si>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</si>
  <si>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</si>
  <si>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</si>
  <si>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</si>
  <si>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</si>
  <si>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</si>
  <si>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</si>
  <si>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</si>
  <si>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</si>
  <si>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</si>
  <si>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</si>
  <si>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</si>
  <si>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</si>
  <si>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</si>
  <si>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</si>
  <si>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</si>
  <si>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</si>
  <si>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</si>
  <si>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</si>
  <si>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</si>
  <si>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</si>
  <si>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</si>
  <si>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</si>
  <si>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</si>
  <si>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</si>
  <si>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</si>
  <si>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</si>
  <si>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</si>
  <si>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</si>
  <si>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</si>
  <si>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</si>
  <si>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</si>
  <si>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</si>
  <si>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</si>
  <si>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</si>
  <si>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</si>
  <si>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</si>
  <si>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</si>
  <si>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</si>
  <si>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</si>
  <si>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</si>
  <si>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</si>
  <si>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</si>
  <si>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</si>
  <si>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</si>
  <si>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</si>
  <si>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</si>
  <si>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</si>
  <si>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</si>
  <si>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</si>
  <si>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</si>
  <si>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</si>
  <si>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</si>
  <si>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</si>
  <si>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</si>
  <si>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</si>
  <si>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</si>
  <si>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</si>
  <si>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</si>
  <si>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</si>
  <si>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</si>
  <si>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</si>
  <si>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</si>
  <si>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</si>
  <si>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</si>
  <si>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</si>
  <si>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</si>
  <si>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</si>
  <si>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</si>
  <si>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</si>
  <si>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</si>
  <si>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</si>
  <si>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</si>
  <si>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</si>
  <si>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</si>
  <si>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</si>
  <si>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</si>
  <si>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</si>
  <si>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</si>
  <si>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</si>
  <si>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</si>
  <si>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</si>
  <si>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</si>
  <si>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</si>
  <si>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</si>
  <si>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</si>
  <si>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</si>
  <si>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</si>
  <si>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</si>
  <si>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</si>
  <si>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</si>
  <si>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</si>
  <si>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</si>
  <si>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</si>
  <si>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</si>
  <si>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</si>
  <si>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</si>
  <si>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</si>
  <si>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</si>
  <si>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</si>
  <si>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</si>
  <si>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</si>
  <si>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</si>
  <si>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</si>
  <si>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</si>
  <si>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</si>
  <si>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</si>
  <si>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</si>
  <si>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</si>
  <si>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</si>
  <si>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</si>
  <si>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</si>
  <si>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</si>
  <si>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</si>
  <si>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</si>
  <si>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</si>
  <si>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</si>
  <si>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</si>
  <si>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</si>
  <si>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</si>
  <si>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</si>
  <si>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</si>
  <si>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</si>
  <si>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</si>
  <si>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</si>
  <si>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</si>
  <si>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</si>
  <si>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</si>
  <si>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</si>
  <si>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</si>
  <si>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</si>
  <si>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</si>
  <si>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</si>
  <si>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</si>
  <si>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</si>
  <si>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</si>
  <si>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</si>
  <si>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</si>
  <si>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</si>
  <si>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</si>
  <si>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</si>
  <si>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</si>
  <si>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</si>
  <si>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</si>
  <si>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</si>
  <si>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</si>
  <si>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</si>
  <si>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</si>
  <si>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</si>
  <si>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</si>
  <si>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</si>
  <si>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</si>
  <si>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</si>
  <si>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</si>
  <si>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</si>
  <si>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</si>
  <si>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</si>
  <si>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</si>
  <si>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</si>
  <si>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</si>
  <si>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</si>
  <si>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</si>
  <si>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</si>
  <si>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</si>
  <si>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</si>
  <si>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</si>
  <si>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</si>
  <si>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</si>
  <si>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</si>
  <si>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</si>
  <si>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</si>
  <si>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</si>
  <si>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</si>
  <si>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</si>
  <si>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</si>
  <si>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</si>
  <si>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</si>
  <si>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</si>
  <si>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</si>
  <si>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</si>
  <si>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</si>
  <si>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</si>
  <si>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</si>
  <si>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</si>
  <si>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</si>
  <si>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</si>
  <si>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</si>
  <si>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</si>
  <si>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</si>
  <si>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</si>
  <si>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</si>
  <si>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</si>
  <si>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</si>
  <si>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</si>
  <si>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</si>
  <si>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</si>
  <si>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</si>
  <si>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</si>
  <si>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</si>
  <si>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</si>
  <si>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</si>
  <si>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</si>
  <si>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</si>
  <si>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</si>
  <si>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</si>
  <si>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</si>
  <si>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</si>
  <si>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</si>
  <si>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</si>
  <si>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</si>
  <si>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</si>
  <si>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</si>
  <si>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</si>
  <si>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</si>
  <si>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</si>
  <si>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</si>
  <si>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</si>
  <si>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</si>
  <si>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</si>
  <si>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</si>
  <si>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</si>
  <si>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</si>
  <si>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</si>
  <si>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</si>
  <si>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</si>
  <si>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</si>
  <si>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</si>
  <si>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</si>
  <si>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</si>
  <si>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</si>
  <si>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</si>
  <si>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</si>
  <si>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</si>
  <si>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</si>
  <si>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</si>
  <si>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</si>
  <si>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</si>
  <si>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</si>
  <si>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</si>
  <si>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</si>
  <si>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</si>
  <si>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</si>
  <si>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</si>
  <si>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</si>
  <si>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</si>
  <si>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</si>
  <si>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</si>
  <si>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</si>
  <si>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</si>
  <si>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</si>
  <si>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</si>
  <si>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</si>
  <si>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</si>
  <si>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</si>
  <si>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</si>
  <si>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</si>
  <si>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</si>
  <si>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</si>
  <si>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</si>
  <si>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</si>
  <si>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</si>
  <si>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</si>
  <si>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</si>
  <si>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</si>
  <si>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</si>
  <si>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</si>
  <si>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</si>
  <si>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</si>
  <si>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</si>
  <si>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</si>
  <si>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</si>
  <si>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</si>
  <si>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</si>
  <si>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</si>
  <si>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</si>
  <si>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</si>
  <si>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</si>
  <si>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</si>
  <si>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</si>
  <si>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</si>
  <si>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</si>
  <si>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</si>
  <si>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</si>
  <si>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</si>
  <si>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</si>
  <si>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</si>
  <si>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</si>
  <si>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</si>
  <si>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</si>
  <si>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</si>
  <si>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</si>
  <si>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</si>
  <si>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</si>
  <si>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</si>
  <si>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</si>
  <si>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</si>
  <si>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</si>
  <si>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</si>
  <si>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</si>
  <si>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</si>
  <si>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</si>
  <si>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</si>
  <si>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</si>
  <si>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</si>
  <si>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</si>
  <si>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</si>
  <si>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</si>
  <si>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</si>
  <si>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</si>
  <si>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</si>
  <si>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</si>
  <si>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</si>
  <si>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</si>
  <si>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</si>
  <si>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</si>
  <si>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</si>
  <si>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</si>
  <si>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</si>
  <si>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</si>
  <si>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</si>
  <si>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</si>
  <si>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</si>
  <si>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</si>
  <si>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</si>
  <si>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</si>
  <si>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</si>
  <si>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</si>
  <si>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</si>
  <si>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</si>
  <si>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</si>
  <si>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</si>
  <si>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</si>
  <si>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</si>
  <si>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</si>
  <si>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</si>
  <si>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</si>
  <si>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</si>
  <si>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</si>
  <si>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</si>
  <si>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</si>
  <si>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</si>
  <si>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</si>
  <si>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</si>
  <si>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</si>
  <si>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</si>
  <si>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</si>
  <si>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</si>
  <si>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</si>
  <si>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</si>
  <si>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</si>
  <si>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</si>
  <si>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</si>
  <si>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</si>
  <si>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</si>
  <si>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</si>
  <si>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</si>
  <si>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</si>
  <si>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</si>
  <si>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</si>
  <si>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</si>
  <si>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</si>
  <si>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</si>
  <si>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</si>
  <si>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</si>
  <si>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</si>
  <si>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</si>
  <si>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</si>
  <si>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</si>
  <si>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</si>
  <si>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</si>
  <si>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</si>
  <si>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</si>
  <si>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</si>
  <si>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</si>
  <si>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</si>
  <si>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</si>
  <si>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</si>
  <si>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</si>
  <si>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</si>
  <si>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</si>
  <si>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</si>
  <si>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</si>
  <si>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</si>
  <si>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</si>
  <si>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</si>
  <si>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</si>
  <si>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</si>
  <si>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</si>
  <si>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</si>
  <si>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</si>
  <si>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</si>
  <si>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</si>
  <si>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</si>
  <si>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</si>
  <si>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</si>
  <si>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</si>
  <si>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</si>
  <si>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</si>
  <si>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</si>
  <si>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</si>
  <si>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</si>
  <si>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</si>
  <si>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</si>
  <si>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</si>
  <si>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</si>
  <si>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</si>
  <si>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</si>
  <si>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</si>
  <si>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</si>
  <si>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</si>
  <si>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</si>
  <si>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</si>
  <si>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</si>
  <si>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</si>
  <si>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</si>
  <si>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</si>
  <si>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</si>
  <si>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</si>
  <si>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</si>
  <si>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</si>
  <si>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</si>
  <si>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</si>
  <si>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</si>
  <si>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</si>
  <si>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</si>
  <si>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</si>
  <si>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</si>
  <si>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</si>
  <si>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</si>
  <si>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</si>
  <si>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</si>
  <si>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</si>
  <si>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</si>
  <si>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</si>
  <si>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</si>
  <si>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</si>
  <si>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</si>
  <si>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</si>
  <si>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</si>
  <si>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</si>
  <si>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</si>
  <si>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</si>
  <si>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</si>
  <si>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</si>
  <si>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</si>
  <si>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</si>
  <si>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</si>
  <si>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</si>
  <si>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</si>
  <si>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</si>
  <si>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</si>
  <si>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</si>
  <si>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</si>
  <si>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</si>
  <si>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</si>
  <si>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</si>
  <si>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</si>
  <si>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</si>
  <si>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</si>
  <si>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</si>
  <si>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</si>
  <si>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</si>
  <si>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</si>
  <si>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</si>
  <si>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</si>
  <si>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</si>
  <si>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</si>
  <si>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</si>
  <si>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</si>
  <si>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</si>
  <si>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</si>
  <si>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</si>
  <si>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</si>
  <si>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</si>
  <si>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</si>
  <si>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</si>
  <si>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</si>
  <si>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</si>
  <si>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</si>
  <si>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</si>
  <si>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</si>
  <si>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</si>
  <si>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</si>
  <si>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</si>
  <si>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</si>
  <si>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</si>
  <si>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</si>
  <si>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</si>
  <si>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</si>
  <si>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</si>
  <si>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</si>
  <si>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</si>
  <si>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</si>
  <si>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</si>
  <si>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</si>
  <si>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</si>
  <si>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</si>
  <si>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</si>
  <si>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</si>
  <si>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</si>
  <si>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</si>
  <si>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</si>
  <si>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</si>
  <si>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</si>
  <si>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</si>
  <si>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</si>
  <si>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</si>
  <si>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</si>
  <si>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</si>
  <si>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</si>
  <si>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</si>
  <si>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</si>
  <si>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</si>
  <si>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</si>
  <si>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</si>
  <si>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</si>
  <si>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</si>
  <si>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</si>
  <si>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</si>
  <si>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</si>
  <si>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</si>
  <si>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</si>
  <si>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</si>
  <si>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</si>
  <si>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</si>
  <si>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</si>
  <si>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</si>
  <si>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</si>
  <si>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</si>
  <si>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</si>
  <si>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</si>
  <si>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</si>
  <si>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</si>
  <si>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</si>
  <si>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</si>
  <si>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</si>
  <si>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</si>
  <si>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</si>
  <si>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</si>
  <si>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</si>
  <si>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</si>
  <si>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</si>
  <si>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</si>
  <si>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</si>
  <si>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</si>
  <si>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</si>
  <si>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</si>
  <si>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</si>
  <si>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</si>
  <si>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</si>
  <si>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</si>
  <si>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</si>
  <si>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</si>
  <si>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</si>
  <si>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</si>
  <si>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</si>
  <si>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</si>
  <si>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</si>
  <si>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</si>
  <si>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</si>
  <si>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</si>
  <si>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</si>
  <si>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</si>
  <si>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</si>
  <si>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</si>
  <si>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</si>
  <si>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</si>
  <si>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</si>
  <si>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</si>
  <si>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</si>
  <si>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</si>
  <si>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</si>
  <si>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</si>
  <si>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</si>
  <si>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</si>
  <si>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</si>
  <si>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</si>
  <si>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</si>
  <si>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</si>
  <si>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</si>
  <si>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</si>
  <si>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</si>
  <si>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</si>
  <si>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</si>
  <si>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</si>
  <si>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</si>
  <si>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</si>
  <si>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</si>
  <si>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</si>
  <si>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</si>
  <si>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</si>
  <si>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</si>
  <si>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</si>
  <si>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</si>
  <si>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</si>
  <si>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</si>
  <si>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</si>
  <si>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</si>
  <si>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</si>
  <si>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</si>
  <si>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</si>
  <si>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</si>
  <si>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</si>
  <si>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</si>
  <si>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</si>
  <si>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</si>
  <si>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</si>
  <si>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</si>
  <si>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</si>
  <si>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</si>
  <si>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</si>
  <si>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</si>
  <si>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</si>
  <si>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</si>
  <si>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</si>
  <si>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</si>
  <si>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</si>
  <si>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</si>
  <si>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</si>
  <si>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</si>
  <si>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</si>
  <si>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</si>
  <si>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</si>
  <si>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</si>
  <si>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</si>
  <si>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</si>
  <si>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</si>
  <si>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</si>
  <si>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</si>
  <si>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</si>
  <si>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</si>
  <si>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</si>
  <si>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</si>
  <si>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</si>
  <si>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</si>
  <si>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</si>
  <si>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</si>
  <si>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</si>
  <si>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</si>
  <si>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</si>
  <si>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</si>
  <si>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</si>
  <si>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</si>
  <si>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</si>
  <si>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</si>
  <si>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</si>
  <si>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</si>
  <si>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</si>
  <si>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</si>
  <si>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</si>
  <si>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</si>
  <si>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</si>
  <si>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</si>
  <si>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</si>
  <si>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</si>
  <si>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</si>
  <si>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</si>
  <si>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</si>
  <si>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</si>
  <si>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</si>
  <si>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</si>
  <si>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</si>
  <si>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</si>
  <si>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</si>
  <si>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</si>
  <si>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</si>
  <si>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</si>
  <si>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</si>
  <si>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</si>
  <si>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</si>
  <si>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</si>
  <si>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</si>
  <si>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</si>
  <si>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</si>
  <si>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</si>
  <si>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</si>
  <si>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</si>
  <si>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</si>
  <si>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</si>
  <si>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</si>
  <si>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</si>
  <si>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</si>
  <si>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</si>
  <si>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</si>
  <si>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</si>
  <si>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</si>
  <si>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</si>
  <si>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</si>
  <si>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</si>
  <si>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</si>
  <si>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</si>
  <si>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</si>
  <si>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</si>
  <si>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</si>
  <si>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</si>
  <si>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</si>
  <si>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</si>
  <si>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</si>
  <si>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</si>
  <si>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</si>
  <si>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</si>
  <si>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</si>
  <si>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</si>
  <si>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</si>
  <si>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</si>
  <si>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</si>
  <si>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</si>
  <si>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</si>
  <si>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</si>
  <si>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</si>
  <si>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</si>
  <si>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</si>
  <si>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</si>
  <si>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</si>
  <si>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</si>
  <si>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</si>
  <si>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</si>
  <si>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</si>
  <si>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</si>
  <si>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</si>
  <si>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</si>
  <si>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</si>
  <si>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</si>
  <si>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</si>
  <si>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</si>
  <si>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</si>
  <si>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</si>
  <si>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</si>
  <si>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</si>
  <si>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</si>
  <si>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</si>
  <si>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</si>
  <si>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</si>
  <si>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</si>
  <si>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</si>
  <si>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</si>
  <si>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</si>
  <si>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</si>
  <si>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</si>
  <si>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</si>
  <si>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</si>
  <si>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</si>
  <si>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</si>
  <si>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</si>
  <si>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</si>
  <si>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</si>
  <si>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</si>
  <si>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</si>
  <si>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</si>
  <si>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</si>
  <si>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</si>
  <si>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</si>
  <si>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</si>
  <si>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</si>
  <si>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</si>
  <si>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</si>
  <si>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</si>
  <si>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</si>
  <si>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</si>
  <si>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</si>
  <si>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</si>
  <si>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</si>
  <si>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</si>
  <si>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</si>
  <si>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</si>
  <si>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</si>
  <si>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</si>
  <si>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</si>
  <si>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</si>
  <si>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</si>
  <si>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</si>
  <si>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</si>
  <si>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</si>
  <si>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</si>
  <si>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</si>
  <si>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</si>
  <si>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</si>
  <si>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</si>
  <si>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</si>
  <si>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</si>
  <si>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</si>
  <si>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</si>
  <si>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</si>
  <si>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</si>
  <si>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</si>
  <si>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</si>
  <si>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</si>
  <si>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</si>
  <si>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</si>
  <si>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</si>
  <si>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</si>
  <si>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</si>
  <si>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</si>
  <si>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</si>
  <si>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</si>
  <si>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</si>
  <si>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</si>
  <si>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</si>
  <si>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</si>
  <si>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</si>
  <si>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</si>
  <si>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</si>
  <si>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</si>
  <si>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</si>
  <si>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</si>
  <si>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</si>
  <si>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</si>
  <si>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</si>
  <si>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</si>
  <si>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</si>
  <si>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</si>
  <si>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</si>
  <si>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</si>
  <si>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</si>
  <si>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</si>
  <si>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</si>
  <si>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</si>
  <si>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</si>
  <si>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</si>
  <si>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</si>
  <si>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</si>
  <si>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</si>
  <si>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</si>
  <si>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</si>
  <si>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</si>
  <si>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</si>
  <si>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</si>
  <si>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</si>
  <si>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</si>
  <si>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</si>
  <si>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</si>
  <si>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</si>
  <si>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</si>
  <si>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</si>
  <si>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</si>
  <si>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</si>
  <si>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</si>
  <si>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</si>
  <si>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</si>
  <si>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</si>
  <si>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</si>
  <si>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</si>
  <si>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</si>
  <si>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</si>
  <si>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</si>
  <si>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</si>
  <si>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</si>
  <si>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</si>
  <si>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</si>
  <si>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</si>
  <si>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</si>
  <si>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</si>
  <si>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</si>
  <si>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</si>
  <si>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</si>
  <si>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</si>
  <si>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</si>
  <si>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</si>
  <si>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</si>
  <si>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</si>
  <si>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</si>
  <si>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</si>
  <si>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</si>
  <si>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</si>
  <si>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</si>
  <si>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</si>
  <si>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</si>
  <si>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</si>
  <si>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</si>
  <si>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</si>
  <si>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</si>
  <si>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</si>
  <si>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</si>
  <si>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</si>
  <si>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</si>
  <si>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</si>
  <si>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</si>
  <si>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</si>
  <si>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</si>
  <si>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</si>
  <si>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</si>
  <si>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</si>
  <si>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</si>
  <si>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</si>
  <si>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</si>
  <si>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</si>
  <si>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</si>
  <si>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2019</t>
  </si>
  <si>
    <t>2020</t>
  </si>
  <si>
    <t>2021</t>
  </si>
  <si>
    <t>2022</t>
  </si>
  <si>
    <t>Arabica</t>
  </si>
  <si>
    <t>Excelsa</t>
  </si>
  <si>
    <t>Liberica</t>
  </si>
  <si>
    <t>Robusta</t>
  </si>
  <si>
    <t>Sum of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</si>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</sst>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 #,##0_ ;_ * \-#,##0_ ;_ * &quot;-&quot;_ ;_ @_ "/>
    <numFmt numFmtId="164" formatCode="0.0"/>
    <numFmt numFmtId="165" formatCode="0.0\ &quot;kg&quot;"/>
    <numFmt numFmtId="166" formatCode="_-[$$-409]* #,##0.00_ ;_-[$$-409]* \-#,##0.00\ ;_-[$$-409]* &quot;-&quot;??_ ;_-@_ "/>
    <numFmt numFmtId="167" formatCode="_-[$$-409]* #,##0_ ;_-[$$-409]* \-#,##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41" fontId="0" fillId="0" borderId="0" xfId="0" applyNumberFormat="1"/>
    <xf numFmtId="168" fontId="0" fillId="0" borderId="0" xfId="0" applyNumberFormat="1"/>
  </cellXfs>
  <cellStyles count="1">
    <cellStyle name="Normal" xfId="0" builtinId="0"/>
  </cellStyles>
  <dxfs count="84">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33" formatCode="_ * #,##0_ ;_ * \-#,##0_ ;_ * &quot;-&quot;_ ;_ @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0" formatCode="General"/>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1"/>
      </font>
    </dxf>
    <dxf>
      <font>
        <color theme="0"/>
      </font>
      <fill>
        <patternFill>
          <bgColor rgb="FFF5BC95"/>
        </patternFill>
      </fill>
      <border diagonalUp="0" diagonalDown="0">
        <left style="thin">
          <color auto="1"/>
        </left>
        <right style="thin">
          <color auto="1"/>
        </right>
        <top style="thin">
          <color auto="1"/>
        </top>
        <bottom style="thin">
          <color auto="1"/>
        </bottom>
        <vertical/>
        <horizontal style="thin">
          <color auto="1"/>
        </horizontal>
      </border>
    </dxf>
  </dxfs>
  <tableStyles count="2" defaultTableStyle="TableStyleMedium2" defaultPivotStyle="PivotStyleMedium9">
    <tableStyle name="Slicer Style 1" pivot="0" table="0" count="10" xr9:uid="{2108B3C8-B269-48E4-B32B-52E1EF9E73D7}">
      <tableStyleElement type="wholeTable" dxfId="83"/>
      <tableStyleElement type="headerRow" dxfId="82"/>
    </tableStyle>
    <tableStyle name="Timeline Style 1" pivot="0" table="0" count="8" xr9:uid="{8940E56A-5EE8-4C3D-8835-9E1B11BD3599}">
      <tableStyleElement type="wholeTable" dxfId="81"/>
      <tableStyleElement type="headerRow" dxfId="80"/>
    </tableStyle>
  </tableStyles>
  <colors>
    <mruColors>
      <color rgb="FFEB701D"/>
      <color rgb="FFF5BC95"/>
      <color rgb="FFA20000"/>
      <color rgb="FFCD9B69"/>
      <color rgb="FFE2AC00"/>
    </mruColors>
  </colors>
  <extLst>
    <ext xmlns:x14="http://schemas.microsoft.com/office/spreadsheetml/2009/9/main" uri="{46F421CA-312F-682f-3DD2-61675219B42D}">
      <x14:dxfs count="8">
        <dxf>
          <fill>
            <patternFill>
              <bgColor theme="5" tint="-0.499984740745262"/>
            </patternFill>
          </fill>
        </dxf>
        <dxf>
          <fill>
            <patternFill>
              <bgColor theme="5" tint="-0.499984740745262"/>
            </patternFill>
          </fill>
        </dxf>
        <dxf>
          <fill>
            <patternFill patternType="solid">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7" tint="-0.24994659260841701"/>
            </patternFill>
          </fill>
        </dxf>
        <dxf>
          <fill>
            <patternFill>
              <bgColor theme="7"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5"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Coffee Type</a:t>
            </a:r>
          </a:p>
        </c:rich>
      </c:tx>
      <c:layout>
        <c:manualLayout>
          <c:xMode val="edge"/>
          <c:yMode val="edge"/>
          <c:x val="2.7317690816286148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Robusta</c:v>
                </c:pt>
                <c:pt idx="1">
                  <c:v>Arabica</c:v>
                </c:pt>
                <c:pt idx="2">
                  <c:v>Liberica</c:v>
                </c:pt>
                <c:pt idx="3">
                  <c:v>Excelsa</c:v>
                </c:pt>
              </c:strCache>
            </c:strRef>
          </c:cat>
          <c:val>
            <c:numRef>
              <c:f>Analysis!$B$2:$B$5</c:f>
              <c:numCache>
                <c:formatCode>_-[$$-409]* #,##0_ ;_-[$$-409]* \-#,##0\ ;_-[$$-409]* "-"_ ;_-@_ </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1-16F5-4D6F-93B6-928BE4DD6390}"/>
            </c:ext>
          </c:extLst>
        </c:ser>
        <c:dLbls>
          <c:dLblPos val="outEnd"/>
          <c:showLegendKey val="0"/>
          <c:showVal val="1"/>
          <c:showCatName val="0"/>
          <c:showSerName val="0"/>
          <c:showPercent val="0"/>
          <c:showBubbleSize val="0"/>
        </c:dLbls>
        <c:gapWidth val="219"/>
        <c:overlap val="-27"/>
        <c:axId val="948728831"/>
        <c:axId val="948742751"/>
      </c:barChart>
      <c:catAx>
        <c:axId val="94872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8742751"/>
        <c:crosses val="autoZero"/>
        <c:auto val="1"/>
        <c:lblAlgn val="ctr"/>
        <c:lblOffset val="100"/>
        <c:noMultiLvlLbl val="0"/>
      </c:catAx>
      <c:valAx>
        <c:axId val="948742751"/>
        <c:scaling>
          <c:orientation val="minMax"/>
        </c:scaling>
        <c:delete val="1"/>
        <c:axPos val="l"/>
        <c:numFmt formatCode="_-[$$-409]* #,##0_ ;_-[$$-409]* \-#,##0\ ;_-[$$-409]* &quot;-&quot;_ ;_-@_ " sourceLinked="1"/>
        <c:majorTickMark val="none"/>
        <c:minorTickMark val="none"/>
        <c:tickLblPos val="nextTo"/>
        <c:crossAx val="94872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Total Sales by Country</a:t>
            </a:r>
          </a:p>
        </c:rich>
      </c:tx>
      <c:layout>
        <c:manualLayout>
          <c:xMode val="edge"/>
          <c:yMode val="edge"/>
          <c:x val="2.2451224846894154E-2"/>
          <c:y val="3.041825095057034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88888888888889"/>
              <c:y val="-5.9745117411654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8714151356080491"/>
          <c:y val="0.23592300962379703"/>
          <c:w val="0.40047572178477692"/>
          <c:h val="0.66745953630796151"/>
        </c:manualLayout>
      </c:layout>
      <c:doughnutChart>
        <c:varyColors val="1"/>
        <c:ser>
          <c:idx val="0"/>
          <c:order val="0"/>
          <c:tx>
            <c:strRef>
              <c:f>Analysis!$B$20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90-4E6E-A0E0-8BB43B558D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90-4E6E-A0E0-8BB43B558D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90-4E6E-A0E0-8BB43B558DEF}"/>
              </c:ext>
            </c:extLst>
          </c:dPt>
          <c:dLbls>
            <c:dLbl>
              <c:idx val="0"/>
              <c:layout>
                <c:manualLayout>
                  <c:x val="0.11388888888888889"/>
                  <c:y val="-5.9745117411654391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B90-4E6E-A0E0-8BB43B558DEF}"/>
                </c:ext>
              </c:extLst>
            </c:dLbl>
            <c:dLbl>
              <c:idx val="1"/>
              <c:layout>
                <c:manualLayout>
                  <c:x val="9.7222222222222224E-2"/>
                  <c:y val="2.314814814814814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B90-4E6E-A0E0-8BB43B558DEF}"/>
                </c:ext>
              </c:extLst>
            </c:dLbl>
            <c:dLbl>
              <c:idx val="2"/>
              <c:layout>
                <c:manualLayout>
                  <c:x val="-0.14166666666666666"/>
                  <c:y val="0"/>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B90-4E6E-A0E0-8BB43B558D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Analysis!$A$21:$A$23</c:f>
              <c:strCache>
                <c:ptCount val="3"/>
                <c:pt idx="0">
                  <c:v>United Kingdom</c:v>
                </c:pt>
                <c:pt idx="1">
                  <c:v>Ireland</c:v>
                </c:pt>
                <c:pt idx="2">
                  <c:v>United States</c:v>
                </c:pt>
              </c:strCache>
            </c:strRef>
          </c:cat>
          <c:val>
            <c:numRef>
              <c:f>Analysis!$B$21:$B$23</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7-7044-4658-BA5C-CCF7B81E5D47}"/>
            </c:ext>
          </c:extLst>
        </c:ser>
        <c:dLbls>
          <c:showLegendKey val="0"/>
          <c:showVal val="1"/>
          <c:showCatName val="0"/>
          <c:showSerName val="0"/>
          <c:showPercent val="0"/>
          <c:showBubbleSize val="0"/>
          <c:showLeaderLines val="1"/>
        </c:dLbls>
        <c:firstSliceAng val="50"/>
        <c:holeSize val="6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a:t>
            </a:r>
            <a:r>
              <a:rPr lang="en-US" b="1" baseline="0"/>
              <a:t> Customers</a:t>
            </a:r>
            <a:endParaRPr lang="en-US" b="1"/>
          </a:p>
        </c:rich>
      </c:tx>
      <c:layout>
        <c:manualLayout>
          <c:xMode val="edge"/>
          <c:yMode val="edge"/>
          <c:x val="2.831233595800526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Analysis!$A$37:$A$41</c:f>
              <c:strCache>
                <c:ptCount val="5"/>
                <c:pt idx="0">
                  <c:v>Don Flintiff</c:v>
                </c:pt>
                <c:pt idx="1">
                  <c:v>Nealson Cuttler</c:v>
                </c:pt>
                <c:pt idx="2">
                  <c:v>Terri Farra</c:v>
                </c:pt>
                <c:pt idx="3">
                  <c:v>Brenn Dundredge</c:v>
                </c:pt>
                <c:pt idx="4">
                  <c:v>Allis Wilmore</c:v>
                </c:pt>
              </c:strCache>
            </c:strRef>
          </c:cat>
          <c:val>
            <c:numRef>
              <c:f>Analysis!$B$37:$B$41</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8B5E-4A2F-B811-EFF5B61BF22B}"/>
            </c:ext>
          </c:extLst>
        </c:ser>
        <c:dLbls>
          <c:dLblPos val="outEnd"/>
          <c:showLegendKey val="0"/>
          <c:showVal val="1"/>
          <c:showCatName val="0"/>
          <c:showSerName val="0"/>
          <c:showPercent val="0"/>
          <c:showBubbleSize val="0"/>
        </c:dLbls>
        <c:gapWidth val="182"/>
        <c:axId val="1251697679"/>
        <c:axId val="1251688079"/>
      </c:barChart>
      <c:catAx>
        <c:axId val="125169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1688079"/>
        <c:crosses val="autoZero"/>
        <c:auto val="1"/>
        <c:lblAlgn val="ctr"/>
        <c:lblOffset val="100"/>
        <c:noMultiLvlLbl val="0"/>
      </c:catAx>
      <c:valAx>
        <c:axId val="1251688079"/>
        <c:scaling>
          <c:orientation val="minMax"/>
        </c:scaling>
        <c:delete val="1"/>
        <c:axPos val="b"/>
        <c:numFmt formatCode="_-[$$-409]* #,##0_ ;_-[$$-409]* \-#,##0\ ;_-[$$-409]* &quot;-&quot;_ ;_-@_ " sourceLinked="1"/>
        <c:majorTickMark val="none"/>
        <c:minorTickMark val="none"/>
        <c:tickLblPos val="nextTo"/>
        <c:crossAx val="125169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Over Time</a:t>
            </a:r>
          </a:p>
        </c:rich>
      </c:tx>
      <c:layout>
        <c:manualLayout>
          <c:xMode val="edge"/>
          <c:yMode val="edge"/>
          <c:x val="2.048143478145858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4.7122060470324828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384098544232923E-2"/>
              <c:y val="7.1793890347039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Analysis!$B$53</c:f>
              <c:strCache>
                <c:ptCount val="1"/>
                <c:pt idx="0">
                  <c:v>Total</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cat>
            <c:strRef>
              <c:f>Analysis!$A$54:$A$57</c:f>
              <c:strCache>
                <c:ptCount val="4"/>
                <c:pt idx="0">
                  <c:v>2019</c:v>
                </c:pt>
                <c:pt idx="1">
                  <c:v>2020</c:v>
                </c:pt>
                <c:pt idx="2">
                  <c:v>2021</c:v>
                </c:pt>
                <c:pt idx="3">
                  <c:v>2022</c:v>
                </c:pt>
              </c:strCache>
            </c:strRef>
          </c:cat>
          <c:val>
            <c:numRef>
              <c:f>Analysis!$B$54:$B$57</c:f>
              <c:numCache>
                <c:formatCode>_-[$$-409]* #,##0_ ;_-[$$-409]* \-#,##0\ ;_-[$$-409]* "-"_ ;_-@_ </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06-8E68-45F0-A994-BA21DD70E3C9}"/>
            </c:ext>
          </c:extLst>
        </c:ser>
        <c:dLbls>
          <c:showLegendKey val="0"/>
          <c:showVal val="0"/>
          <c:showCatName val="0"/>
          <c:showSerName val="0"/>
          <c:showPercent val="0"/>
          <c:showBubbleSize val="0"/>
        </c:dLbls>
        <c:marker val="1"/>
        <c:smooth val="0"/>
        <c:axId val="1251719279"/>
        <c:axId val="1251734159"/>
      </c:lineChart>
      <c:catAx>
        <c:axId val="125171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1734159"/>
        <c:crosses val="autoZero"/>
        <c:auto val="1"/>
        <c:lblAlgn val="ctr"/>
        <c:lblOffset val="100"/>
        <c:noMultiLvlLbl val="0"/>
      </c:catAx>
      <c:valAx>
        <c:axId val="1251734159"/>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17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Total Sales Over Time</a:t>
            </a:r>
          </a:p>
        </c:rich>
      </c:tx>
      <c:layout>
        <c:manualLayout>
          <c:xMode val="edge"/>
          <c:yMode val="edge"/>
          <c:x val="2.048143478145858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layout>
            <c:manualLayout>
              <c:x val="-4.7122060470324828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layout>
            <c:manualLayout>
              <c:x val="-5.384098544232923E-2"/>
              <c:y val="7.1793890347039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layout>
            <c:manualLayout>
              <c:x val="-5.384098544232923E-2"/>
              <c:y val="7.1793890347039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layout>
            <c:manualLayout>
              <c:x val="-4.7122060470324828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50000"/>
              </a:schemeClr>
            </a:solidFill>
            <a:round/>
          </a:ln>
          <a:effectLst/>
        </c:spPr>
        <c:marker>
          <c:symbol val="circle"/>
          <c:size val="5"/>
          <c:spPr>
            <a:solidFill>
              <a:schemeClr val="accent4">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384098544232923E-2"/>
              <c:y val="7.17938903470398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7122060470324828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97292156174453E-2"/>
          <c:y val="0.22774269252033644"/>
          <c:w val="0.94220541568765104"/>
          <c:h val="0.57665378903695241"/>
        </c:manualLayout>
      </c:layout>
      <c:lineChart>
        <c:grouping val="standard"/>
        <c:varyColors val="0"/>
        <c:ser>
          <c:idx val="0"/>
          <c:order val="0"/>
          <c:tx>
            <c:strRef>
              <c:f>Analysis!$B$53</c:f>
              <c:strCache>
                <c:ptCount val="1"/>
                <c:pt idx="0">
                  <c:v>Total</c:v>
                </c:pt>
              </c:strCache>
            </c:strRef>
          </c:tx>
          <c:spPr>
            <a:ln w="28575" cap="rnd">
              <a:solidFill>
                <a:schemeClr val="accent2">
                  <a:lumMod val="50000"/>
                </a:schemeClr>
              </a:solidFill>
              <a:round/>
            </a:ln>
            <a:effectLst/>
          </c:spPr>
          <c:marker>
            <c:symbol val="circle"/>
            <c:size val="5"/>
            <c:spPr>
              <a:solidFill>
                <a:schemeClr val="accent4">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Analysis!$A$54:$A$57</c:f>
              <c:strCache>
                <c:ptCount val="4"/>
                <c:pt idx="0">
                  <c:v>2019</c:v>
                </c:pt>
                <c:pt idx="1">
                  <c:v>2020</c:v>
                </c:pt>
                <c:pt idx="2">
                  <c:v>2021</c:v>
                </c:pt>
                <c:pt idx="3">
                  <c:v>2022</c:v>
                </c:pt>
              </c:strCache>
            </c:strRef>
          </c:cat>
          <c:val>
            <c:numRef>
              <c:f>Analysis!$B$54:$B$57</c:f>
              <c:numCache>
                <c:formatCode>_-[$$-409]* #,##0_ ;_-[$$-409]* \-#,##0\ ;_-[$$-409]* "-"_ ;_-@_ </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23-48F7-4386-BDEF-A658E628BE67}"/>
            </c:ext>
          </c:extLst>
        </c:ser>
        <c:dLbls>
          <c:dLblPos val="t"/>
          <c:showLegendKey val="0"/>
          <c:showVal val="1"/>
          <c:showCatName val="0"/>
          <c:showSerName val="0"/>
          <c:showPercent val="0"/>
          <c:showBubbleSize val="0"/>
        </c:dLbls>
        <c:marker val="1"/>
        <c:smooth val="0"/>
        <c:axId val="1251719279"/>
        <c:axId val="1251734159"/>
      </c:lineChart>
      <c:catAx>
        <c:axId val="1251719279"/>
        <c:scaling>
          <c:orientation val="minMax"/>
        </c:scaling>
        <c:delete val="0"/>
        <c:axPos val="b"/>
        <c:numFmt formatCode="General" sourceLinked="1"/>
        <c:majorTickMark val="none"/>
        <c:minorTickMark val="none"/>
        <c:tickLblPos val="nextTo"/>
        <c:spPr>
          <a:solidFill>
            <a:srgbClr val="F5BC95"/>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1734159"/>
        <c:crosses val="autoZero"/>
        <c:auto val="1"/>
        <c:lblAlgn val="ctr"/>
        <c:lblOffset val="100"/>
        <c:noMultiLvlLbl val="0"/>
      </c:catAx>
      <c:valAx>
        <c:axId val="1251734159"/>
        <c:scaling>
          <c:orientation val="minMax"/>
        </c:scaling>
        <c:delete val="1"/>
        <c:axPos val="l"/>
        <c:numFmt formatCode="_-[$$-409]* #,##0_ ;_-[$$-409]* \-#,##0\ ;_-[$$-409]* &quot;-&quot;_ ;_-@_ " sourceLinked="1"/>
        <c:majorTickMark val="out"/>
        <c:minorTickMark val="none"/>
        <c:tickLblPos val="nextTo"/>
        <c:crossAx val="1251719279"/>
        <c:crosses val="autoZero"/>
        <c:crossBetween val="between"/>
      </c:valAx>
      <c:spPr>
        <a:solidFill>
          <a:srgbClr val="F5BC9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10000"/>
          <a:alpha val="25000"/>
        </a:schemeClr>
      </a:solidFill>
      <a:round/>
    </a:ln>
    <a:effectLst>
      <a:innerShdw blurRad="1270000">
        <a:schemeClr val="accent2">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Total Sales By Coffee Type</a:t>
            </a:r>
          </a:p>
        </c:rich>
      </c:tx>
      <c:layout>
        <c:manualLayout>
          <c:xMode val="edge"/>
          <c:yMode val="edge"/>
          <c:x val="2.7317690816286148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22310128744339E-2"/>
          <c:y val="0.1776798021390181"/>
          <c:w val="0.90455537974251132"/>
          <c:h val="0.67016576383211568"/>
        </c:manualLayout>
      </c:layout>
      <c:barChart>
        <c:barDir val="col"/>
        <c:grouping val="clustered"/>
        <c:varyColors val="0"/>
        <c:ser>
          <c:idx val="0"/>
          <c:order val="0"/>
          <c:tx>
            <c:strRef>
              <c:f>Analysis!$B$1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Robusta</c:v>
                </c:pt>
                <c:pt idx="1">
                  <c:v>Arabica</c:v>
                </c:pt>
                <c:pt idx="2">
                  <c:v>Liberica</c:v>
                </c:pt>
                <c:pt idx="3">
                  <c:v>Excelsa</c:v>
                </c:pt>
              </c:strCache>
            </c:strRef>
          </c:cat>
          <c:val>
            <c:numRef>
              <c:f>Analysis!$B$2:$B$5</c:f>
              <c:numCache>
                <c:formatCode>_-[$$-409]* #,##0_ ;_-[$$-409]* \-#,##0\ ;_-[$$-409]* "-"_ ;_-@_ </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2-6E9A-4A0C-986F-D68C3B39876C}"/>
            </c:ext>
          </c:extLst>
        </c:ser>
        <c:dLbls>
          <c:dLblPos val="outEnd"/>
          <c:showLegendKey val="0"/>
          <c:showVal val="1"/>
          <c:showCatName val="0"/>
          <c:showSerName val="0"/>
          <c:showPercent val="0"/>
          <c:showBubbleSize val="0"/>
        </c:dLbls>
        <c:gapWidth val="104"/>
        <c:overlap val="-27"/>
        <c:axId val="948728831"/>
        <c:axId val="948742751"/>
      </c:barChart>
      <c:catAx>
        <c:axId val="948728831"/>
        <c:scaling>
          <c:orientation val="minMax"/>
        </c:scaling>
        <c:delete val="0"/>
        <c:axPos val="b"/>
        <c:numFmt formatCode="General" sourceLinked="1"/>
        <c:majorTickMark val="none"/>
        <c:minorTickMark val="none"/>
        <c:tickLblPos val="nextTo"/>
        <c:spPr>
          <a:solidFill>
            <a:srgbClr val="F5BC95"/>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8742751"/>
        <c:crosses val="autoZero"/>
        <c:auto val="1"/>
        <c:lblAlgn val="ctr"/>
        <c:lblOffset val="100"/>
        <c:noMultiLvlLbl val="0"/>
      </c:catAx>
      <c:valAx>
        <c:axId val="948742751"/>
        <c:scaling>
          <c:orientation val="minMax"/>
        </c:scaling>
        <c:delete val="1"/>
        <c:axPos val="l"/>
        <c:numFmt formatCode="_-[$$-409]* #,##0_ ;_-[$$-409]* \-#,##0\ ;_-[$$-409]* &quot;-&quot;_ ;_-@_ " sourceLinked="1"/>
        <c:majorTickMark val="none"/>
        <c:minorTickMark val="none"/>
        <c:tickLblPos val="nextTo"/>
        <c:crossAx val="948728831"/>
        <c:crosses val="autoZero"/>
        <c:crossBetween val="between"/>
      </c:valAx>
      <c:spPr>
        <a:solidFill>
          <a:srgbClr val="F5BC9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10000"/>
          <a:alpha val="25000"/>
        </a:schemeClr>
      </a:solidFill>
      <a:round/>
    </a:ln>
    <a:effectLst>
      <a:innerShdw blurRad="1270000">
        <a:schemeClr val="accent2">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[coffeeOrdersData.xlsx]Analysis!PivotTable2</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Country wise Sales</a:t>
            </a:r>
          </a:p>
        </c:rich>
      </c:tx>
      <c:layout>
        <c:manualLayout>
          <c:xMode val="edge"/>
          <c:yMode val="edge"/>
          <c:x val="2.2451224846894154E-2"/>
          <c:y val="3.041825095057034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88888888888889"/>
              <c:y val="-5.9745117411654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88888888888889"/>
              <c:y val="-5.9745117411654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22222222222222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1666666666666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4">
              <a:lumMod val="75000"/>
            </a:schemeClr>
          </a:solidFill>
          <a:ln w="19050">
            <a:solidFill>
              <a:schemeClr val="lt1"/>
            </a:solidFill>
          </a:ln>
          <a:effectLst/>
        </c:spPr>
        <c:dLbl>
          <c:idx val="0"/>
          <c:layout>
            <c:manualLayout>
              <c:x val="0.11388888888888889"/>
              <c:y val="-5.97451174116543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2">
              <a:lumMod val="75000"/>
            </a:schemeClr>
          </a:solidFill>
          <a:ln w="19050">
            <a:solidFill>
              <a:schemeClr val="lt1"/>
            </a:solidFill>
          </a:ln>
          <a:effectLst/>
        </c:spPr>
        <c:dLbl>
          <c:idx val="0"/>
          <c:layout>
            <c:manualLayout>
              <c:x val="9.722222222222222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dLbl>
          <c:idx val="0"/>
          <c:layout>
            <c:manualLayout>
              <c:x val="-0.1416666666666666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1017589615293228"/>
          <c:y val="0.20916655338451301"/>
          <c:w val="0.51328429483282045"/>
          <c:h val="0.77954875544648672"/>
        </c:manualLayout>
      </c:layout>
      <c:doughnutChart>
        <c:varyColors val="1"/>
        <c:ser>
          <c:idx val="0"/>
          <c:order val="0"/>
          <c:tx>
            <c:strRef>
              <c:f>Analysis!$B$20</c:f>
              <c:strCache>
                <c:ptCount val="1"/>
                <c:pt idx="0">
                  <c:v>Total</c:v>
                </c:pt>
              </c:strCache>
            </c:strRef>
          </c:tx>
          <c:spPr>
            <a:solidFill>
              <a:schemeClr val="accent2">
                <a:lumMod val="50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9-FDE5-406C-9CBB-112A4DDE3C9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A-FDE5-406C-9CBB-112A4DDE3C92}"/>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B-FDE5-406C-9CBB-112A4DDE3C92}"/>
              </c:ext>
            </c:extLst>
          </c:dPt>
          <c:dLbls>
            <c:dLbl>
              <c:idx val="0"/>
              <c:layout>
                <c:manualLayout>
                  <c:x val="0.11388888888888889"/>
                  <c:y val="-5.9745117411654391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FDE5-406C-9CBB-112A4DDE3C92}"/>
                </c:ext>
              </c:extLst>
            </c:dLbl>
            <c:dLbl>
              <c:idx val="1"/>
              <c:layout>
                <c:manualLayout>
                  <c:x val="9.7222222222222224E-2"/>
                  <c:y val="2.314814814814814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A-FDE5-406C-9CBB-112A4DDE3C92}"/>
                </c:ext>
              </c:extLst>
            </c:dLbl>
            <c:dLbl>
              <c:idx val="2"/>
              <c:layout>
                <c:manualLayout>
                  <c:x val="-0.14166666666666666"/>
                  <c:y val="0"/>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FDE5-406C-9CBB-112A4DDE3C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Analysis!$A$21:$A$23</c:f>
              <c:strCache>
                <c:ptCount val="3"/>
                <c:pt idx="0">
                  <c:v>United Kingdom</c:v>
                </c:pt>
                <c:pt idx="1">
                  <c:v>Ireland</c:v>
                </c:pt>
                <c:pt idx="2">
                  <c:v>United States</c:v>
                </c:pt>
              </c:strCache>
            </c:strRef>
          </c:cat>
          <c:val>
            <c:numRef>
              <c:f>Analysis!$B$21:$B$23</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8-FDE5-406C-9CBB-112A4DDE3C92}"/>
            </c:ext>
          </c:extLst>
        </c:ser>
        <c:dLbls>
          <c:showLegendKey val="0"/>
          <c:showVal val="1"/>
          <c:showCatName val="0"/>
          <c:showSerName val="0"/>
          <c:showPercent val="0"/>
          <c:showBubbleSize val="0"/>
          <c:showLeaderLines val="1"/>
        </c:dLbls>
        <c:firstSliceAng val="50"/>
        <c:holeSize val="64"/>
      </c:doughnutChart>
      <c:spPr>
        <a:solidFill>
          <a:srgbClr val="F5BC95"/>
        </a:solidFill>
        <a:ln>
          <a:noFill/>
        </a:ln>
        <a:effectLst/>
      </c:spPr>
    </c:plotArea>
    <c:legend>
      <c:legendPos val="t"/>
      <c:layout>
        <c:manualLayout>
          <c:xMode val="edge"/>
          <c:yMode val="edge"/>
          <c:x val="5.9239457818475331E-2"/>
          <c:y val="0.10357732211583513"/>
          <c:w val="0.87061442802625011"/>
          <c:h val="0.1639821777361217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10000"/>
          <a:alpha val="25000"/>
        </a:schemeClr>
      </a:solidFill>
      <a:round/>
    </a:ln>
    <a:effectLst>
      <a:innerShdw blurRad="1270000">
        <a:schemeClr val="accent2">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 5</a:t>
            </a:r>
            <a:r>
              <a:rPr lang="en-US" b="1" baseline="0">
                <a:solidFill>
                  <a:schemeClr val="tx1">
                    <a:lumMod val="95000"/>
                    <a:lumOff val="5000"/>
                  </a:schemeClr>
                </a:solidFill>
              </a:rPr>
              <a:t> Customers</a:t>
            </a:r>
            <a:endParaRPr lang="en-US" b="1">
              <a:solidFill>
                <a:schemeClr val="tx1">
                  <a:lumMod val="95000"/>
                  <a:lumOff val="5000"/>
                </a:schemeClr>
              </a:solidFill>
            </a:endParaRPr>
          </a:p>
        </c:rich>
      </c:tx>
      <c:layout>
        <c:manualLayout>
          <c:xMode val="edge"/>
          <c:yMode val="edge"/>
          <c:x val="2.831233595800526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77767164342901"/>
          <c:y val="0.17136136313462194"/>
          <c:w val="0.63936161994228313"/>
          <c:h val="0.75695653122122042"/>
        </c:manualLayout>
      </c:layout>
      <c:barChart>
        <c:barDir val="bar"/>
        <c:grouping val="clustered"/>
        <c:varyColors val="0"/>
        <c:ser>
          <c:idx val="0"/>
          <c:order val="0"/>
          <c:tx>
            <c:strRef>
              <c:f>Analysis!$B$36</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Analysis!$A$37:$A$41</c:f>
              <c:strCache>
                <c:ptCount val="5"/>
                <c:pt idx="0">
                  <c:v>Don Flintiff</c:v>
                </c:pt>
                <c:pt idx="1">
                  <c:v>Nealson Cuttler</c:v>
                </c:pt>
                <c:pt idx="2">
                  <c:v>Terri Farra</c:v>
                </c:pt>
                <c:pt idx="3">
                  <c:v>Brenn Dundredge</c:v>
                </c:pt>
                <c:pt idx="4">
                  <c:v>Allis Wilmore</c:v>
                </c:pt>
              </c:strCache>
            </c:strRef>
          </c:cat>
          <c:val>
            <c:numRef>
              <c:f>Analysis!$B$37:$B$41</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27C-49F5-ADB3-B7B4F508F0D9}"/>
            </c:ext>
          </c:extLst>
        </c:ser>
        <c:dLbls>
          <c:dLblPos val="outEnd"/>
          <c:showLegendKey val="0"/>
          <c:showVal val="1"/>
          <c:showCatName val="0"/>
          <c:showSerName val="0"/>
          <c:showPercent val="0"/>
          <c:showBubbleSize val="0"/>
        </c:dLbls>
        <c:gapWidth val="80"/>
        <c:axId val="1251697679"/>
        <c:axId val="1251688079"/>
      </c:barChart>
      <c:catAx>
        <c:axId val="1251697679"/>
        <c:scaling>
          <c:orientation val="minMax"/>
        </c:scaling>
        <c:delete val="0"/>
        <c:axPos val="l"/>
        <c:numFmt formatCode="General" sourceLinked="1"/>
        <c:majorTickMark val="none"/>
        <c:minorTickMark val="none"/>
        <c:tickLblPos val="nextTo"/>
        <c:spPr>
          <a:solidFill>
            <a:srgbClr val="F5BC95"/>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1688079"/>
        <c:crosses val="autoZero"/>
        <c:auto val="1"/>
        <c:lblAlgn val="ctr"/>
        <c:lblOffset val="100"/>
        <c:noMultiLvlLbl val="0"/>
      </c:catAx>
      <c:valAx>
        <c:axId val="1251688079"/>
        <c:scaling>
          <c:orientation val="minMax"/>
        </c:scaling>
        <c:delete val="1"/>
        <c:axPos val="b"/>
        <c:numFmt formatCode="_-[$$-409]* #,##0_ ;_-[$$-409]* \-#,##0\ ;_-[$$-409]* &quot;-&quot;_ ;_-@_ " sourceLinked="1"/>
        <c:majorTickMark val="none"/>
        <c:minorTickMark val="none"/>
        <c:tickLblPos val="nextTo"/>
        <c:crossAx val="1251697679"/>
        <c:crosses val="autoZero"/>
        <c:crossBetween val="between"/>
      </c:valAx>
      <c:spPr>
        <a:solidFill>
          <a:srgbClr val="F5BC9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alpha val="25000"/>
        </a:schemeClr>
      </a:solidFill>
      <a:round/>
    </a:ln>
    <a:effectLst>
      <a:innerShdw blurRad="1270000">
        <a:schemeClr val="accent2">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565150</xdr:colOff>
      <xdr:row>0</xdr:row>
      <xdr:rowOff>111125</xdr:rowOff>
    </xdr:from>
    <xdr:to>
      <xdr:col>10</xdr:col>
      <xdr:colOff>260350</xdr:colOff>
      <xdr:row>15</xdr:row>
      <xdr:rowOff>92075</xdr:rowOff>
    </xdr:to>
    <xdr:graphicFrame macro="">
      <xdr:nvGraphicFramePr>
        <xdr:cNvPr id="2" name="Chart 1">
          <a:extLst>
            <a:ext uri="{FF2B5EF4-FFF2-40B4-BE49-F238E27FC236}">
              <a16:creationId xmlns:a16="http://schemas.microsoft.com/office/drawing/2014/main" id="{695384F1-179D-71AF-01D8-FBBFF504D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101600</xdr:colOff>
      <xdr:row>18</xdr:row>
      <xdr:rowOff>60325</xdr:rowOff>
    </xdr:from>
    <xdr:to>
      <xdr:col>9</xdr:col>
      <xdr:colOff>533400</xdr:colOff>
      <xdr:row>31</xdr:row>
      <xdr:rowOff>171450</xdr:rowOff>
    </xdr:to>
    <xdr:graphicFrame macro="">
      <xdr:nvGraphicFramePr>
        <xdr:cNvPr id="6" name="Chart 5">
          <a:extLst>
            <a:ext uri="{FF2B5EF4-FFF2-40B4-BE49-F238E27FC236}">
              <a16:creationId xmlns:a16="http://schemas.microsoft.com/office/drawing/2014/main" id="{A12F6A17-A097-47EC-9B97-FCA2185D6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79375</xdr:colOff>
      <xdr:row>33</xdr:row>
      <xdr:rowOff>41275</xdr:rowOff>
    </xdr:from>
    <xdr:to>
      <xdr:col>9</xdr:col>
      <xdr:colOff>511175</xdr:colOff>
      <xdr:row>48</xdr:row>
      <xdr:rowOff>22225</xdr:rowOff>
    </xdr:to>
    <xdr:graphicFrame macro="">
      <xdr:nvGraphicFramePr>
        <xdr:cNvPr id="7" name="Chart 6">
          <a:extLst>
            <a:ext uri="{FF2B5EF4-FFF2-40B4-BE49-F238E27FC236}">
              <a16:creationId xmlns:a16="http://schemas.microsoft.com/office/drawing/2014/main" id="{C0D933FB-EFA0-63BC-0526-E1ACCD5AD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508000</xdr:colOff>
      <xdr:row>55</xdr:row>
      <xdr:rowOff>60325</xdr:rowOff>
    </xdr:from>
    <xdr:to>
      <xdr:col>11</xdr:col>
      <xdr:colOff>209550</xdr:colOff>
      <xdr:row>70</xdr:row>
      <xdr:rowOff>41275</xdr:rowOff>
    </xdr:to>
    <xdr:graphicFrame macro="">
      <xdr:nvGraphicFramePr>
        <xdr:cNvPr id="8" name="Chart 7">
          <a:extLst>
            <a:ext uri="{FF2B5EF4-FFF2-40B4-BE49-F238E27FC236}">
              <a16:creationId xmlns:a16="http://schemas.microsoft.com/office/drawing/2014/main" id="{7D2298F2-BE5B-DBB6-902C-42AC5FA16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264321</xdr:colOff>
      <xdr:row>0</xdr:row>
      <xdr:rowOff>110378</xdr:rowOff>
    </xdr:from>
    <xdr:to>
      <xdr:col>15</xdr:col>
      <xdr:colOff>445780</xdr:colOff>
      <xdr:row>35</xdr:row>
      <xdr:rowOff>174855</xdr:rowOff>
    </xdr:to>
    <xdr:sp macro="" textlink="">
      <xdr:nvSpPr>
        <xdr:cNvPr id="2" name="Rectangle 1">
          <a:extLst>
            <a:ext uri="{FF2B5EF4-FFF2-40B4-BE49-F238E27FC236}">
              <a16:creationId xmlns:a16="http://schemas.microsoft.com/office/drawing/2014/main" id="{74B0A3BA-D9A1-E52B-CE92-B199033B68BC}"/>
            </a:ext>
          </a:extLst>
        </xdr:cNvPr>
        <xdr:cNvSpPr/>
      </xdr:nvSpPr>
      <xdr:spPr>
        <a:xfrm>
          <a:off x="264321" y="110378"/>
          <a:ext cx="9292329" cy="6506506"/>
        </a:xfrm>
        <a:prstGeom prst="rect">
          <a:avLst/>
        </a:prstGeom>
        <a:solidFill>
          <a:srgbClr val="CD9B69">
            <a:alpha val="7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288753</xdr:colOff>
      <xdr:row>0</xdr:row>
      <xdr:rowOff>172213</xdr:rowOff>
    </xdr:from>
    <xdr:to>
      <xdr:col>15</xdr:col>
      <xdr:colOff>358913</xdr:colOff>
      <xdr:row>3</xdr:row>
      <xdr:rowOff>19592</xdr:rowOff>
    </xdr:to>
    <xdr:sp macro="" textlink="">
      <xdr:nvSpPr>
        <xdr:cNvPr id="3" name="Rectangle 2">
          <a:extLst>
            <a:ext uri="{FF2B5EF4-FFF2-40B4-BE49-F238E27FC236}">
              <a16:creationId xmlns:a16="http://schemas.microsoft.com/office/drawing/2014/main" id="{64A2A866-2487-3A8B-AD14-1B54C62BEF35}"/>
            </a:ext>
          </a:extLst>
        </xdr:cNvPr>
        <xdr:cNvSpPr/>
      </xdr:nvSpPr>
      <xdr:spPr>
        <a:xfrm>
          <a:off x="288753" y="172213"/>
          <a:ext cx="9181030" cy="399553"/>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COFFEE</a:t>
          </a:r>
          <a:r>
            <a:rPr lang="en-IN" sz="2800" baseline="0"/>
            <a:t> SALES DASHBOARD</a:t>
          </a:r>
          <a:endParaRPr lang="en-IN" sz="2800"/>
        </a:p>
      </xdr:txBody>
    </xdr:sp>
    <xdr:clientData/>
  </xdr:twoCellAnchor>
  <xdr:twoCellAnchor>
    <xdr:from>
      <xdr:col>0</xdr:col>
      <xdr:colOff>368116</xdr:colOff>
      <xdr:row>9</xdr:row>
      <xdr:rowOff>101232</xdr:rowOff>
    </xdr:from>
    <xdr:to>
      <xdr:col>7</xdr:col>
      <xdr:colOff>469349</xdr:colOff>
      <xdr:row>19</xdr:row>
      <xdr:rowOff>165653</xdr:rowOff>
    </xdr:to>
    <xdr:graphicFrame macro="">
      <xdr:nvGraphicFramePr>
        <xdr:cNvPr id="6" name="Chart 5">
          <a:extLst>
            <a:ext uri="{FF2B5EF4-FFF2-40B4-BE49-F238E27FC236}">
              <a16:creationId xmlns:a16="http://schemas.microsoft.com/office/drawing/2014/main" id="{1BCE3E42-4D02-4FAB-956B-5790873E3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220869</xdr:colOff>
      <xdr:row>20</xdr:row>
      <xdr:rowOff>119638</xdr:rowOff>
    </xdr:from>
    <xdr:to>
      <xdr:col>12</xdr:col>
      <xdr:colOff>312898</xdr:colOff>
      <xdr:row>35</xdr:row>
      <xdr:rowOff>92028</xdr:rowOff>
    </xdr:to>
    <xdr:graphicFrame macro="">
      <xdr:nvGraphicFramePr>
        <xdr:cNvPr id="7" name="Chart 6">
          <a:extLst>
            <a:ext uri="{FF2B5EF4-FFF2-40B4-BE49-F238E27FC236}">
              <a16:creationId xmlns:a16="http://schemas.microsoft.com/office/drawing/2014/main" id="{58FDF894-55BA-4F1F-8890-4363491C3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395724</xdr:colOff>
      <xdr:row>20</xdr:row>
      <xdr:rowOff>92028</xdr:rowOff>
    </xdr:from>
    <xdr:to>
      <xdr:col>6</xdr:col>
      <xdr:colOff>128839</xdr:colOff>
      <xdr:row>35</xdr:row>
      <xdr:rowOff>92029</xdr:rowOff>
    </xdr:to>
    <xdr:graphicFrame macro="">
      <xdr:nvGraphicFramePr>
        <xdr:cNvPr id="8" name="Chart 7">
          <a:extLst>
            <a:ext uri="{FF2B5EF4-FFF2-40B4-BE49-F238E27FC236}">
              <a16:creationId xmlns:a16="http://schemas.microsoft.com/office/drawing/2014/main" id="{16F5E987-EFA2-433D-ACE5-4A00B8D9C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598187</xdr:colOff>
      <xdr:row>3</xdr:row>
      <xdr:rowOff>128840</xdr:rowOff>
    </xdr:from>
    <xdr:to>
      <xdr:col>12</xdr:col>
      <xdr:colOff>331304</xdr:colOff>
      <xdr:row>19</xdr:row>
      <xdr:rowOff>156450</xdr:rowOff>
    </xdr:to>
    <xdr:graphicFrame macro="">
      <xdr:nvGraphicFramePr>
        <xdr:cNvPr id="9" name="Chart 8">
          <a:extLst>
            <a:ext uri="{FF2B5EF4-FFF2-40B4-BE49-F238E27FC236}">
              <a16:creationId xmlns:a16="http://schemas.microsoft.com/office/drawing/2014/main" id="{7C1020C8-4CB1-4F46-B763-F26D6BFAE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404926</xdr:colOff>
      <xdr:row>3</xdr:row>
      <xdr:rowOff>82828</xdr:rowOff>
    </xdr:from>
    <xdr:to>
      <xdr:col>15</xdr:col>
      <xdr:colOff>360328</xdr:colOff>
      <xdr:row>9</xdr:row>
      <xdr:rowOff>156449</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07537E3D-B72B-4D3C-BBE4-9A95D929841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693622" y="635002"/>
              <a:ext cx="1777576" cy="1177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423333</xdr:colOff>
      <xdr:row>10</xdr:row>
      <xdr:rowOff>38560</xdr:rowOff>
    </xdr:from>
    <xdr:to>
      <xdr:col>15</xdr:col>
      <xdr:colOff>365447</xdr:colOff>
      <xdr:row>16</xdr:row>
      <xdr:rowOff>128840</xdr:rowOff>
    </xdr:to>
    <mc:AlternateContent xmlns:mc="http://schemas.openxmlformats.org/markup-compatibility/2006" xmlns:a14="http://schemas.microsoft.com/office/drawing/2010/main">
      <mc:Choice Requires="a14">
        <xdr:graphicFrame macro="">
          <xdr:nvGraphicFramePr>
            <xdr:cNvPr id="13" name="Roast type name">
              <a:extLst>
                <a:ext uri="{FF2B5EF4-FFF2-40B4-BE49-F238E27FC236}">
                  <a16:creationId xmlns:a16="http://schemas.microsoft.com/office/drawing/2014/main" id="{0E134A1D-0BA9-2740-0EB7-8205992B2D1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712029" y="1879140"/>
              <a:ext cx="1764288" cy="1194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423333</xdr:colOff>
      <xdr:row>17</xdr:row>
      <xdr:rowOff>10948</xdr:rowOff>
    </xdr:from>
    <xdr:to>
      <xdr:col>15</xdr:col>
      <xdr:colOff>368116</xdr:colOff>
      <xdr:row>30</xdr:row>
      <xdr:rowOff>27609</xdr:rowOff>
    </xdr:to>
    <mc:AlternateContent xmlns:mc="http://schemas.openxmlformats.org/markup-compatibility/2006" xmlns:a14="http://schemas.microsoft.com/office/drawing/2010/main">
      <mc:Choice Requires="a14">
        <xdr:graphicFrame macro="">
          <xdr:nvGraphicFramePr>
            <xdr:cNvPr id="14" name="Months (Order Date)">
              <a:extLst>
                <a:ext uri="{FF2B5EF4-FFF2-40B4-BE49-F238E27FC236}">
                  <a16:creationId xmlns:a16="http://schemas.microsoft.com/office/drawing/2014/main" id="{49689432-CEB0-9FB7-65AB-B4645AC6A8D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712029" y="3139934"/>
              <a:ext cx="1766957" cy="2409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423333</xdr:colOff>
      <xdr:row>30</xdr:row>
      <xdr:rowOff>130589</xdr:rowOff>
    </xdr:from>
    <xdr:to>
      <xdr:col>15</xdr:col>
      <xdr:colOff>349711</xdr:colOff>
      <xdr:row>35</xdr:row>
      <xdr:rowOff>101232</xdr:rowOff>
    </xdr:to>
    <mc:AlternateContent xmlns:mc="http://schemas.openxmlformats.org/markup-compatibility/2006" xmlns:a14="http://schemas.microsoft.com/office/drawing/2010/main">
      <mc:Choice Requires="a14">
        <xdr:graphicFrame macro="">
          <xdr:nvGraphicFramePr>
            <xdr:cNvPr id="15" name="Loyalty Card">
              <a:extLst>
                <a:ext uri="{FF2B5EF4-FFF2-40B4-BE49-F238E27FC236}">
                  <a16:creationId xmlns:a16="http://schemas.microsoft.com/office/drawing/2014/main" id="{F9283C74-EEF6-5957-EEF7-844B9C0566F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712029" y="5652328"/>
              <a:ext cx="1748552" cy="890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377319</xdr:colOff>
      <xdr:row>3</xdr:row>
      <xdr:rowOff>110433</xdr:rowOff>
    </xdr:from>
    <xdr:to>
      <xdr:col>4</xdr:col>
      <xdr:colOff>64422</xdr:colOff>
      <xdr:row>8</xdr:row>
      <xdr:rowOff>165652</xdr:rowOff>
    </xdr:to>
    <xdr:grpSp>
      <xdr:nvGrpSpPr>
        <xdr:cNvPr id="10" name="Group 9">
          <a:extLst>
            <a:ext uri="{FF2B5EF4-FFF2-40B4-BE49-F238E27FC236}">
              <a16:creationId xmlns:a16="http://schemas.microsoft.com/office/drawing/2014/main" id="{51A5E005-E2D7-8E04-269F-E01D96E8B486}"/>
            </a:ext>
          </a:extLst>
        </xdr:cNvPr>
        <xdr:cNvGrpSpPr/>
      </xdr:nvGrpSpPr>
      <xdr:grpSpPr>
        <a:xfrm>
          <a:off x="377319" y="662607"/>
          <a:ext cx="2116668" cy="975509"/>
          <a:chOff x="377318" y="717825"/>
          <a:chExt cx="2043043" cy="911088"/>
        </a:xfrm>
      </xdr:grpSpPr>
      <xdr:sp macro="" textlink="">
        <xdr:nvSpPr>
          <xdr:cNvPr id="4" name="Rectangle 3">
            <a:extLst>
              <a:ext uri="{FF2B5EF4-FFF2-40B4-BE49-F238E27FC236}">
                <a16:creationId xmlns:a16="http://schemas.microsoft.com/office/drawing/2014/main" id="{70962B3C-B662-8D1E-3965-1F5C645EC9D8}"/>
              </a:ext>
            </a:extLst>
          </xdr:cNvPr>
          <xdr:cNvSpPr/>
        </xdr:nvSpPr>
        <xdr:spPr>
          <a:xfrm>
            <a:off x="377318" y="717825"/>
            <a:ext cx="2043043" cy="911088"/>
          </a:xfrm>
          <a:prstGeom prst="rect">
            <a:avLst/>
          </a:prstGeom>
          <a:solidFill>
            <a:srgbClr val="EB701D"/>
          </a:solidFill>
          <a:ln w="19050">
            <a:solidFill>
              <a:schemeClr val="tx1">
                <a:lumMod val="95000"/>
                <a:lumOff val="5000"/>
                <a:alpha val="25000"/>
              </a:schemeClr>
            </a:solidFill>
          </a:ln>
          <a:effectLst>
            <a:innerShdw blurRad="1270000">
              <a:schemeClr val="accent2">
                <a:lumMod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tx1">
                    <a:lumMod val="95000"/>
                    <a:lumOff val="5000"/>
                  </a:schemeClr>
                </a:solidFill>
              </a:rPr>
              <a:t>TOTAL</a:t>
            </a:r>
            <a:r>
              <a:rPr lang="en-IN" sz="1500" b="1" baseline="0">
                <a:solidFill>
                  <a:schemeClr val="tx1">
                    <a:lumMod val="95000"/>
                    <a:lumOff val="5000"/>
                  </a:schemeClr>
                </a:solidFill>
              </a:rPr>
              <a:t> SALES</a:t>
            </a:r>
          </a:p>
        </xdr:txBody>
      </xdr:sp>
      <xdr:sp macro="" textlink="Analysis!M4">
        <xdr:nvSpPr>
          <xdr:cNvPr id="5" name="TextBox 4">
            <a:extLst>
              <a:ext uri="{FF2B5EF4-FFF2-40B4-BE49-F238E27FC236}">
                <a16:creationId xmlns:a16="http://schemas.microsoft.com/office/drawing/2014/main" id="{63952495-6B76-2458-ECAA-C57FF7F0CDFC}"/>
              </a:ext>
            </a:extLst>
          </xdr:cNvPr>
          <xdr:cNvSpPr txBox="1"/>
        </xdr:nvSpPr>
        <xdr:spPr>
          <a:xfrm>
            <a:off x="538368" y="1030725"/>
            <a:ext cx="1720942" cy="542971"/>
          </a:xfrm>
          <a:prstGeom prst="rect">
            <a:avLst/>
          </a:prstGeom>
          <a:solidFill>
            <a:srgbClr val="F5BC95"/>
          </a:solidFill>
          <a:ln w="19050" cmpd="sng">
            <a:solidFill>
              <a:schemeClr val="tx1">
                <a:lumMod val="95000"/>
                <a:lumOff val="5000"/>
                <a:alpha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622284-7BC5-48D6-A891-6A8E56318ADE}" type="TxLink">
              <a:rPr lang="en-US" sz="3300" b="1" i="0" u="none" strike="noStrike">
                <a:solidFill>
                  <a:srgbClr val="000000"/>
                </a:solidFill>
                <a:latin typeface="Calibri"/>
                <a:ea typeface="Calibri"/>
                <a:cs typeface="Calibri"/>
              </a:rPr>
              <a:pPr algn="ctr"/>
              <a:t>$45,134</a:t>
            </a:fld>
            <a:endParaRPr lang="en-IN" sz="3300" b="1"/>
          </a:p>
        </xdr:txBody>
      </xdr:sp>
    </xdr:grpSp>
    <xdr:clientData/>
  </xdr:twoCellAnchor>
  <xdr:twoCellAnchor>
    <xdr:from>
      <xdr:col>4</xdr:col>
      <xdr:colOff>180009</xdr:colOff>
      <xdr:row>3</xdr:row>
      <xdr:rowOff>106383</xdr:rowOff>
    </xdr:from>
    <xdr:to>
      <xdr:col>7</xdr:col>
      <xdr:colOff>474503</xdr:colOff>
      <xdr:row>8</xdr:row>
      <xdr:rowOff>161602</xdr:rowOff>
    </xdr:to>
    <xdr:grpSp>
      <xdr:nvGrpSpPr>
        <xdr:cNvPr id="25" name="Group 24">
          <a:extLst>
            <a:ext uri="{FF2B5EF4-FFF2-40B4-BE49-F238E27FC236}">
              <a16:creationId xmlns:a16="http://schemas.microsoft.com/office/drawing/2014/main" id="{9E8D4C2A-5EA6-4E38-80F1-C2596E283C18}"/>
            </a:ext>
          </a:extLst>
        </xdr:cNvPr>
        <xdr:cNvGrpSpPr/>
      </xdr:nvGrpSpPr>
      <xdr:grpSpPr>
        <a:xfrm>
          <a:off x="2609574" y="658557"/>
          <a:ext cx="2116668" cy="975509"/>
          <a:chOff x="377318" y="717825"/>
          <a:chExt cx="2043043" cy="911088"/>
        </a:xfrm>
      </xdr:grpSpPr>
      <xdr:sp macro="" textlink="">
        <xdr:nvSpPr>
          <xdr:cNvPr id="26" name="Rectangle 25">
            <a:extLst>
              <a:ext uri="{FF2B5EF4-FFF2-40B4-BE49-F238E27FC236}">
                <a16:creationId xmlns:a16="http://schemas.microsoft.com/office/drawing/2014/main" id="{60D4AE6D-B2A1-9C80-2C44-47F6A0689714}"/>
              </a:ext>
            </a:extLst>
          </xdr:cNvPr>
          <xdr:cNvSpPr/>
        </xdr:nvSpPr>
        <xdr:spPr>
          <a:xfrm>
            <a:off x="377318" y="717825"/>
            <a:ext cx="2043043" cy="911088"/>
          </a:xfrm>
          <a:prstGeom prst="rect">
            <a:avLst/>
          </a:prstGeom>
          <a:solidFill>
            <a:srgbClr val="EB701D"/>
          </a:solidFill>
          <a:ln w="19050">
            <a:solidFill>
              <a:schemeClr val="tx1">
                <a:lumMod val="95000"/>
                <a:lumOff val="5000"/>
                <a:alpha val="25000"/>
              </a:schemeClr>
            </a:solidFill>
          </a:ln>
          <a:effectLst>
            <a:innerShdw blurRad="1270000">
              <a:schemeClr val="accent2">
                <a:lumMod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tx1">
                    <a:lumMod val="95000"/>
                    <a:lumOff val="5000"/>
                  </a:schemeClr>
                </a:solidFill>
              </a:rPr>
              <a:t>TOTAL</a:t>
            </a:r>
            <a:r>
              <a:rPr lang="en-IN" sz="1500" b="1" baseline="0">
                <a:solidFill>
                  <a:schemeClr val="tx1">
                    <a:lumMod val="95000"/>
                    <a:lumOff val="5000"/>
                  </a:schemeClr>
                </a:solidFill>
              </a:rPr>
              <a:t> ORDERS</a:t>
            </a:r>
          </a:p>
        </xdr:txBody>
      </xdr:sp>
      <xdr:sp macro="" textlink="Analysis!N4">
        <xdr:nvSpPr>
          <xdr:cNvPr id="27" name="TextBox 26">
            <a:extLst>
              <a:ext uri="{FF2B5EF4-FFF2-40B4-BE49-F238E27FC236}">
                <a16:creationId xmlns:a16="http://schemas.microsoft.com/office/drawing/2014/main" id="{E477820C-F67E-FE40-B134-D67682E44BA1}"/>
              </a:ext>
            </a:extLst>
          </xdr:cNvPr>
          <xdr:cNvSpPr txBox="1"/>
        </xdr:nvSpPr>
        <xdr:spPr>
          <a:xfrm>
            <a:off x="538368" y="1030725"/>
            <a:ext cx="1720942" cy="542971"/>
          </a:xfrm>
          <a:prstGeom prst="rect">
            <a:avLst/>
          </a:prstGeom>
          <a:solidFill>
            <a:srgbClr val="F5BC95"/>
          </a:solidFill>
          <a:ln w="19050" cmpd="sng">
            <a:solidFill>
              <a:schemeClr val="tx1">
                <a:lumMod val="95000"/>
                <a:lumOff val="5000"/>
                <a:alpha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42D30-E884-4BA0-B86B-761E3FDA134C}" type="TxLink">
              <a:rPr lang="en-US" sz="3300" b="1" i="0" u="none" strike="noStrike">
                <a:solidFill>
                  <a:schemeClr val="tx1">
                    <a:lumMod val="95000"/>
                    <a:lumOff val="5000"/>
                  </a:schemeClr>
                </a:solidFill>
                <a:latin typeface="Calibri"/>
                <a:ea typeface="Calibri"/>
                <a:cs typeface="Calibri"/>
              </a:rPr>
              <a:t>1000</a:t>
            </a:fld>
            <a:endParaRPr lang="en-IN" sz="3300" b="1">
              <a:solidFill>
                <a:schemeClr val="tx1">
                  <a:lumMod val="95000"/>
                  <a:lumOff val="5000"/>
                </a:schemeClr>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0.505856828706" createdVersion="8" refreshedVersion="8" minRefreshableVersion="3" recordCount="1000" xr:uid="{75F18E05-E2B7-4B43-8F27-DF7B0B8E64E5}">
  <cacheSource type="worksheet">
    <worksheetSource name="Orders_table"/>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i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58657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s v="Rob"/>
    <s v="M"/>
    <n v="1"/>
    <n v="9.9499999999999993"/>
    <n v="19.899999999999999"/>
    <x v="0"/>
    <x v="0"/>
    <x v="0"/>
  </r>
  <r>
    <x v="0"/>
    <x v="0"/>
    <s v="17670-51384-MA"/>
    <s v="E-M-0.5"/>
    <n v="5"/>
    <x v="0"/>
    <s v="aallner0@lulu.com"/>
    <x v="0"/>
    <s v="Exc"/>
    <s v="M"/>
    <n v="0.5"/>
    <n v="8.25"/>
    <n v="41.25"/>
    <x v="1"/>
    <x v="0"/>
    <x v="0"/>
  </r>
  <r>
    <x v="1"/>
    <x v="1"/>
    <s v="21125-22134-PX"/>
    <s v="A-L-1"/>
    <n v="1"/>
    <x v="1"/>
    <s v="jredholes2@tmall.com"/>
    <x v="0"/>
    <s v="Ara"/>
    <s v="L"/>
    <n v="1"/>
    <n v="12.95"/>
    <n v="12.95"/>
    <x v="2"/>
    <x v="1"/>
    <x v="0"/>
  </r>
  <r>
    <x v="2"/>
    <x v="2"/>
    <s v="23806-46781-OU"/>
    <s v="E-M-1"/>
    <n v="2"/>
    <x v="2"/>
    <s v=""/>
    <x v="1"/>
    <s v="Exc"/>
    <s v="M"/>
    <n v="1"/>
    <n v="13.75"/>
    <n v="27.5"/>
    <x v="1"/>
    <x v="0"/>
    <x v="1"/>
  </r>
  <r>
    <x v="2"/>
    <x v="2"/>
    <s v="23806-46781-OU"/>
    <s v="R-L-2.5"/>
    <n v="2"/>
    <x v="2"/>
    <s v=""/>
    <x v="1"/>
    <s v="Rob"/>
    <s v="L"/>
    <n v="2.5"/>
    <n v="27.484999999999996"/>
    <n v="54.969999999999992"/>
    <x v="0"/>
    <x v="1"/>
    <x v="1"/>
  </r>
  <r>
    <x v="3"/>
    <x v="3"/>
    <s v="86561-91660-RB"/>
    <s v="L-D-1"/>
    <n v="3"/>
    <x v="3"/>
    <s v=""/>
    <x v="0"/>
    <s v="Lib"/>
    <s v="D"/>
    <n v="1"/>
    <n v="12.95"/>
    <n v="38.849999999999994"/>
    <x v="3"/>
    <x v="2"/>
    <x v="1"/>
  </r>
  <r>
    <x v="4"/>
    <x v="4"/>
    <s v="65223-29612-CB"/>
    <s v="E-D-0.5"/>
    <n v="3"/>
    <x v="4"/>
    <s v="slobe6@nifty.com"/>
    <x v="0"/>
    <s v="Exc"/>
    <s v="D"/>
    <n v="0.5"/>
    <n v="7.29"/>
    <n v="21.87"/>
    <x v="1"/>
    <x v="2"/>
    <x v="0"/>
  </r>
  <r>
    <x v="5"/>
    <x v="5"/>
    <s v="21134-81676-FR"/>
    <s v="L-L-0.2"/>
    <n v="1"/>
    <x v="5"/>
    <s v=""/>
    <x v="1"/>
    <s v="Lib"/>
    <s v="L"/>
    <n v="0.2"/>
    <n v="4.7549999999999999"/>
    <n v="4.7549999999999999"/>
    <x v="3"/>
    <x v="1"/>
    <x v="0"/>
  </r>
  <r>
    <x v="6"/>
    <x v="6"/>
    <s v="03396-68805-ZC"/>
    <s v="R-M-0.5"/>
    <n v="3"/>
    <x v="6"/>
    <s v="gpetracci8@livejournal.com"/>
    <x v="0"/>
    <s v="Rob"/>
    <s v="M"/>
    <n v="0.5"/>
    <n v="5.97"/>
    <n v="17.91"/>
    <x v="0"/>
    <x v="0"/>
    <x v="1"/>
  </r>
  <r>
    <x v="7"/>
    <x v="0"/>
    <s v="61021-27840-ZN"/>
    <s v="R-M-0.5"/>
    <n v="1"/>
    <x v="7"/>
    <s v="rraven9@ed.gov"/>
    <x v="0"/>
    <s v="Rob"/>
    <s v="M"/>
    <n v="0.5"/>
    <n v="5.97"/>
    <n v="5.97"/>
    <x v="0"/>
    <x v="0"/>
    <x v="1"/>
  </r>
  <r>
    <x v="8"/>
    <x v="7"/>
    <s v="76239-90137-UQ"/>
    <s v="A-D-1"/>
    <n v="4"/>
    <x v="8"/>
    <s v="fferbera@businesswire.com"/>
    <x v="0"/>
    <s v="Ara"/>
    <s v="D"/>
    <n v="1"/>
    <n v="9.9499999999999993"/>
    <n v="39.799999999999997"/>
    <x v="2"/>
    <x v="2"/>
    <x v="1"/>
  </r>
  <r>
    <x v="9"/>
    <x v="8"/>
    <s v="49315-21985-BB"/>
    <s v="E-L-2.5"/>
    <n v="5"/>
    <x v="9"/>
    <s v="dphizackerlyb@utexas.edu"/>
    <x v="0"/>
    <s v="Exc"/>
    <s v="L"/>
    <n v="2.5"/>
    <n v="34.154999999999994"/>
    <n v="170.77499999999998"/>
    <x v="1"/>
    <x v="1"/>
    <x v="0"/>
  </r>
  <r>
    <x v="10"/>
    <x v="9"/>
    <s v="34136-36674-OM"/>
    <s v="R-M-1"/>
    <n v="5"/>
    <x v="10"/>
    <s v="rscholarc@nyu.edu"/>
    <x v="0"/>
    <s v="Rob"/>
    <s v="M"/>
    <n v="1"/>
    <n v="9.9499999999999993"/>
    <n v="49.75"/>
    <x v="0"/>
    <x v="0"/>
    <x v="1"/>
  </r>
  <r>
    <x v="11"/>
    <x v="10"/>
    <s v="39396-12890-PE"/>
    <s v="R-D-2.5"/>
    <n v="2"/>
    <x v="11"/>
    <s v="tvanyutind@wix.com"/>
    <x v="0"/>
    <s v="Rob"/>
    <s v="D"/>
    <n v="2.5"/>
    <n v="20.584999999999997"/>
    <n v="41.169999999999995"/>
    <x v="0"/>
    <x v="2"/>
    <x v="1"/>
  </r>
  <r>
    <x v="12"/>
    <x v="11"/>
    <s v="95875-73336-RG"/>
    <s v="L-D-0.2"/>
    <n v="3"/>
    <x v="12"/>
    <s v="ptrobee@wunderground.com"/>
    <x v="0"/>
    <s v="Lib"/>
    <s v="D"/>
    <n v="0.2"/>
    <n v="3.8849999999999998"/>
    <n v="11.654999999999999"/>
    <x v="3"/>
    <x v="2"/>
    <x v="0"/>
  </r>
  <r>
    <x v="13"/>
    <x v="12"/>
    <s v="25473-43727-BY"/>
    <s v="R-M-2.5"/>
    <n v="5"/>
    <x v="13"/>
    <s v="loscroftf@ebay.co.uk"/>
    <x v="0"/>
    <s v="Rob"/>
    <s v="M"/>
    <n v="2.5"/>
    <n v="22.884999999999998"/>
    <n v="114.42499999999998"/>
    <x v="0"/>
    <x v="0"/>
    <x v="1"/>
  </r>
  <r>
    <x v="14"/>
    <x v="13"/>
    <s v="99643-51048-IQ"/>
    <s v="A-M-0.2"/>
    <n v="6"/>
    <x v="14"/>
    <s v="malabasterg@hexun.com"/>
    <x v="0"/>
    <s v="Ara"/>
    <s v="M"/>
    <n v="0.2"/>
    <n v="3.375"/>
    <n v="20.25"/>
    <x v="2"/>
    <x v="0"/>
    <x v="1"/>
  </r>
  <r>
    <x v="15"/>
    <x v="14"/>
    <s v="62173-15287-CU"/>
    <s v="A-L-1"/>
    <n v="6"/>
    <x v="15"/>
    <s v="rbroxuph@jimdo.com"/>
    <x v="0"/>
    <s v="Ara"/>
    <s v="L"/>
    <n v="1"/>
    <n v="12.95"/>
    <n v="77.699999999999989"/>
    <x v="2"/>
    <x v="1"/>
    <x v="1"/>
  </r>
  <r>
    <x v="16"/>
    <x v="15"/>
    <s v="57611-05522-ST"/>
    <s v="R-D-2.5"/>
    <n v="4"/>
    <x v="16"/>
    <s v="predfordi@ow.ly"/>
    <x v="1"/>
    <s v="Rob"/>
    <s v="D"/>
    <n v="2.5"/>
    <n v="20.584999999999997"/>
    <n v="82.339999999999989"/>
    <x v="0"/>
    <x v="2"/>
    <x v="0"/>
  </r>
  <r>
    <x v="17"/>
    <x v="16"/>
    <s v="76664-37050-DT"/>
    <s v="A-M-0.2"/>
    <n v="5"/>
    <x v="17"/>
    <s v="acorradinoj@harvard.edu"/>
    <x v="0"/>
    <s v="Ara"/>
    <s v="M"/>
    <n v="0.2"/>
    <n v="3.375"/>
    <n v="16.875"/>
    <x v="2"/>
    <x v="0"/>
    <x v="0"/>
  </r>
  <r>
    <x v="17"/>
    <x v="16"/>
    <s v="76664-37050-DT"/>
    <s v="E-D-0.2"/>
    <n v="4"/>
    <x v="17"/>
    <s v="acorradinoj@harvard.edu"/>
    <x v="0"/>
    <s v="Exc"/>
    <s v="D"/>
    <n v="0.2"/>
    <n v="3.645"/>
    <n v="14.58"/>
    <x v="1"/>
    <x v="2"/>
    <x v="0"/>
  </r>
  <r>
    <x v="18"/>
    <x v="16"/>
    <s v="03090-88267-BQ"/>
    <s v="A-D-0.2"/>
    <n v="6"/>
    <x v="18"/>
    <s v="adavidowskyl@netvibes.com"/>
    <x v="0"/>
    <s v="Ara"/>
    <s v="D"/>
    <n v="0.2"/>
    <n v="2.9849999999999999"/>
    <n v="17.91"/>
    <x v="2"/>
    <x v="2"/>
    <x v="1"/>
  </r>
  <r>
    <x v="19"/>
    <x v="17"/>
    <s v="37651-47492-NC"/>
    <s v="R-M-2.5"/>
    <n v="4"/>
    <x v="19"/>
    <s v="aantukm@kickstarter.com"/>
    <x v="0"/>
    <s v="Rob"/>
    <s v="M"/>
    <n v="2.5"/>
    <n v="22.884999999999998"/>
    <n v="91.539999999999992"/>
    <x v="0"/>
    <x v="0"/>
    <x v="0"/>
  </r>
  <r>
    <x v="20"/>
    <x v="18"/>
    <s v="95399-57205-HI"/>
    <s v="A-D-0.2"/>
    <n v="4"/>
    <x v="20"/>
    <s v="ikleinertn@timesonline.co.uk"/>
    <x v="0"/>
    <s v="Ara"/>
    <s v="D"/>
    <n v="0.2"/>
    <n v="2.9849999999999999"/>
    <n v="11.94"/>
    <x v="2"/>
    <x v="2"/>
    <x v="0"/>
  </r>
  <r>
    <x v="21"/>
    <x v="19"/>
    <s v="24010-66714-HW"/>
    <s v="A-M-1"/>
    <n v="1"/>
    <x v="21"/>
    <s v="cblofeldo@amazon.co.uk"/>
    <x v="0"/>
    <s v="Ara"/>
    <s v="M"/>
    <n v="1"/>
    <n v="11.25"/>
    <n v="11.25"/>
    <x v="2"/>
    <x v="0"/>
    <x v="1"/>
  </r>
  <r>
    <x v="22"/>
    <x v="20"/>
    <s v="07591-92789-UA"/>
    <s v="E-M-0.2"/>
    <n v="3"/>
    <x v="22"/>
    <s v=""/>
    <x v="0"/>
    <s v="Exc"/>
    <s v="M"/>
    <n v="0.2"/>
    <n v="4.125"/>
    <n v="12.375"/>
    <x v="1"/>
    <x v="0"/>
    <x v="0"/>
  </r>
  <r>
    <x v="23"/>
    <x v="21"/>
    <s v="49231-44455-IC"/>
    <s v="A-M-0.5"/>
    <n v="4"/>
    <x v="23"/>
    <s v="sshalesq@umich.edu"/>
    <x v="0"/>
    <s v="Ara"/>
    <s v="M"/>
    <n v="0.5"/>
    <n v="6.75"/>
    <n v="27"/>
    <x v="2"/>
    <x v="0"/>
    <x v="0"/>
  </r>
  <r>
    <x v="24"/>
    <x v="22"/>
    <s v="50124-88608-EO"/>
    <s v="A-M-0.2"/>
    <n v="5"/>
    <x v="24"/>
    <s v="vdanneilr@mtv.com"/>
    <x v="1"/>
    <s v="Ara"/>
    <s v="M"/>
    <n v="0.2"/>
    <n v="3.375"/>
    <n v="16.875"/>
    <x v="2"/>
    <x v="0"/>
    <x v="1"/>
  </r>
  <r>
    <x v="25"/>
    <x v="23"/>
    <s v="00888-74814-UZ"/>
    <s v="A-D-0.5"/>
    <n v="3"/>
    <x v="25"/>
    <s v="tnewburys@usda.gov"/>
    <x v="1"/>
    <s v="Ara"/>
    <s v="D"/>
    <n v="0.5"/>
    <n v="5.97"/>
    <n v="17.91"/>
    <x v="2"/>
    <x v="2"/>
    <x v="1"/>
  </r>
  <r>
    <x v="26"/>
    <x v="21"/>
    <s v="14158-30713-OB"/>
    <s v="A-D-1"/>
    <n v="4"/>
    <x v="26"/>
    <s v="mcalcuttt@baidu.com"/>
    <x v="1"/>
    <s v="Ara"/>
    <s v="D"/>
    <n v="1"/>
    <n v="9.9499999999999993"/>
    <n v="39.799999999999997"/>
    <x v="2"/>
    <x v="2"/>
    <x v="0"/>
  </r>
  <r>
    <x v="27"/>
    <x v="24"/>
    <s v="51427-89175-QJ"/>
    <s v="L-M-0.2"/>
    <n v="5"/>
    <x v="27"/>
    <s v=""/>
    <x v="0"/>
    <s v="Lib"/>
    <s v="M"/>
    <n v="0.2"/>
    <n v="4.3650000000000002"/>
    <n v="21.825000000000003"/>
    <x v="3"/>
    <x v="0"/>
    <x v="1"/>
  </r>
  <r>
    <x v="27"/>
    <x v="24"/>
    <s v="51427-89175-QJ"/>
    <s v="A-D-0.5"/>
    <n v="6"/>
    <x v="27"/>
    <s v=""/>
    <x v="0"/>
    <s v="Ara"/>
    <s v="D"/>
    <n v="0.5"/>
    <n v="5.97"/>
    <n v="35.82"/>
    <x v="2"/>
    <x v="2"/>
    <x v="1"/>
  </r>
  <r>
    <x v="27"/>
    <x v="24"/>
    <s v="51427-89175-QJ"/>
    <s v="L-M-0.5"/>
    <n v="6"/>
    <x v="27"/>
    <s v=""/>
    <x v="0"/>
    <s v="Lib"/>
    <s v="M"/>
    <n v="0.5"/>
    <n v="8.73"/>
    <n v="52.38"/>
    <x v="3"/>
    <x v="0"/>
    <x v="1"/>
  </r>
  <r>
    <x v="28"/>
    <x v="25"/>
    <s v="39123-12846-YJ"/>
    <s v="L-L-0.2"/>
    <n v="5"/>
    <x v="28"/>
    <s v="ggatheralx@123-reg.co.uk"/>
    <x v="0"/>
    <s v="Lib"/>
    <s v="L"/>
    <n v="0.2"/>
    <n v="4.7549999999999999"/>
    <n v="23.774999999999999"/>
    <x v="3"/>
    <x v="1"/>
    <x v="1"/>
  </r>
  <r>
    <x v="29"/>
    <x v="26"/>
    <s v="44981-99666-XB"/>
    <s v="L-L-0.5"/>
    <n v="6"/>
    <x v="29"/>
    <s v="uwelberryy@ebay.co.uk"/>
    <x v="2"/>
    <s v="Lib"/>
    <s v="L"/>
    <n v="0.5"/>
    <n v="9.51"/>
    <n v="57.06"/>
    <x v="3"/>
    <x v="1"/>
    <x v="0"/>
  </r>
  <r>
    <x v="30"/>
    <x v="27"/>
    <s v="24825-51803-CQ"/>
    <s v="A-D-0.5"/>
    <n v="6"/>
    <x v="30"/>
    <s v="feilhartz@who.int"/>
    <x v="0"/>
    <s v="Ara"/>
    <s v="D"/>
    <n v="0.5"/>
    <n v="5.97"/>
    <n v="35.82"/>
    <x v="2"/>
    <x v="2"/>
    <x v="1"/>
  </r>
  <r>
    <x v="31"/>
    <x v="28"/>
    <s v="77634-13918-GJ"/>
    <s v="L-M-0.2"/>
    <n v="2"/>
    <x v="31"/>
    <s v="zponting10@altervista.org"/>
    <x v="0"/>
    <s v="Lib"/>
    <s v="M"/>
    <n v="0.2"/>
    <n v="4.3650000000000002"/>
    <n v="8.73"/>
    <x v="3"/>
    <x v="0"/>
    <x v="1"/>
  </r>
  <r>
    <x v="32"/>
    <x v="29"/>
    <s v="13694-25001-LX"/>
    <s v="L-L-0.5"/>
    <n v="3"/>
    <x v="32"/>
    <s v="sstrase11@booking.com"/>
    <x v="0"/>
    <s v="Lib"/>
    <s v="L"/>
    <n v="0.5"/>
    <n v="9.51"/>
    <n v="28.53"/>
    <x v="3"/>
    <x v="1"/>
    <x v="1"/>
  </r>
  <r>
    <x v="33"/>
    <x v="30"/>
    <s v="08523-01791-TI"/>
    <s v="R-M-2.5"/>
    <n v="5"/>
    <x v="33"/>
    <s v="dde12@unesco.org"/>
    <x v="0"/>
    <s v="Rob"/>
    <s v="M"/>
    <n v="2.5"/>
    <n v="22.884999999999998"/>
    <n v="114.42499999999998"/>
    <x v="0"/>
    <x v="0"/>
    <x v="1"/>
  </r>
  <r>
    <x v="34"/>
    <x v="31"/>
    <s v="49860-68865-AB"/>
    <s v="R-M-1"/>
    <n v="6"/>
    <x v="34"/>
    <s v=""/>
    <x v="0"/>
    <s v="Rob"/>
    <s v="M"/>
    <n v="1"/>
    <n v="9.9499999999999993"/>
    <n v="59.699999999999996"/>
    <x v="0"/>
    <x v="0"/>
    <x v="0"/>
  </r>
  <r>
    <x v="35"/>
    <x v="32"/>
    <s v="21240-83132-SP"/>
    <s v="L-M-1"/>
    <n v="3"/>
    <x v="35"/>
    <s v=""/>
    <x v="0"/>
    <s v="Lib"/>
    <s v="M"/>
    <n v="1"/>
    <n v="14.55"/>
    <n v="43.650000000000006"/>
    <x v="3"/>
    <x v="0"/>
    <x v="1"/>
  </r>
  <r>
    <x v="36"/>
    <x v="33"/>
    <s v="08350-81623-TF"/>
    <s v="E-D-0.2"/>
    <n v="2"/>
    <x v="36"/>
    <s v="lyeoland15@pbs.org"/>
    <x v="0"/>
    <s v="Exc"/>
    <s v="D"/>
    <n v="0.2"/>
    <n v="3.645"/>
    <n v="7.29"/>
    <x v="1"/>
    <x v="2"/>
    <x v="0"/>
  </r>
  <r>
    <x v="37"/>
    <x v="34"/>
    <s v="73284-01385-SJ"/>
    <s v="R-D-0.2"/>
    <n v="3"/>
    <x v="37"/>
    <s v="atolworthy16@toplist.cz"/>
    <x v="0"/>
    <s v="Rob"/>
    <s v="D"/>
    <n v="0.2"/>
    <n v="2.6849999999999996"/>
    <n v="8.0549999999999997"/>
    <x v="0"/>
    <x v="2"/>
    <x v="0"/>
  </r>
  <r>
    <x v="38"/>
    <x v="35"/>
    <s v="04152-34436-IE"/>
    <s v="L-L-2.5"/>
    <n v="2"/>
    <x v="38"/>
    <s v=""/>
    <x v="0"/>
    <s v="Lib"/>
    <s v="L"/>
    <n v="2.5"/>
    <n v="36.454999999999998"/>
    <n v="72.91"/>
    <x v="3"/>
    <x v="1"/>
    <x v="1"/>
  </r>
  <r>
    <x v="39"/>
    <x v="36"/>
    <s v="06631-86965-XP"/>
    <s v="E-M-0.5"/>
    <n v="2"/>
    <x v="39"/>
    <s v="obaudassi18@seesaa.net"/>
    <x v="0"/>
    <s v="Exc"/>
    <s v="M"/>
    <n v="0.5"/>
    <n v="8.25"/>
    <n v="16.5"/>
    <x v="1"/>
    <x v="0"/>
    <x v="0"/>
  </r>
  <r>
    <x v="40"/>
    <x v="37"/>
    <s v="54619-08558-ZU"/>
    <s v="L-D-2.5"/>
    <n v="6"/>
    <x v="40"/>
    <s v="pkingsbury19@comcast.net"/>
    <x v="0"/>
    <s v="Lib"/>
    <s v="D"/>
    <n v="2.5"/>
    <n v="29.784999999999997"/>
    <n v="178.70999999999998"/>
    <x v="3"/>
    <x v="2"/>
    <x v="1"/>
  </r>
  <r>
    <x v="41"/>
    <x v="38"/>
    <s v="85589-17020-CX"/>
    <s v="E-M-2.5"/>
    <n v="2"/>
    <x v="41"/>
    <s v=""/>
    <x v="0"/>
    <s v="Exc"/>
    <s v="M"/>
    <n v="2.5"/>
    <n v="31.624999999999996"/>
    <n v="63.249999999999993"/>
    <x v="1"/>
    <x v="0"/>
    <x v="0"/>
  </r>
  <r>
    <x v="42"/>
    <x v="39"/>
    <s v="36078-91009-WU"/>
    <s v="A-L-0.2"/>
    <n v="2"/>
    <x v="42"/>
    <s v="acurley1b@hao123.com"/>
    <x v="0"/>
    <s v="Ara"/>
    <s v="L"/>
    <n v="0.2"/>
    <n v="3.8849999999999998"/>
    <n v="7.77"/>
    <x v="2"/>
    <x v="1"/>
    <x v="0"/>
  </r>
  <r>
    <x v="43"/>
    <x v="40"/>
    <s v="15770-27099-GX"/>
    <s v="A-D-2.5"/>
    <n v="4"/>
    <x v="43"/>
    <s v="rmcgilvary1c@tamu.edu"/>
    <x v="0"/>
    <s v="Ara"/>
    <s v="D"/>
    <n v="2.5"/>
    <n v="22.884999999999998"/>
    <n v="91.539999999999992"/>
    <x v="2"/>
    <x v="2"/>
    <x v="1"/>
  </r>
  <r>
    <x v="44"/>
    <x v="41"/>
    <s v="91460-04823-BX"/>
    <s v="A-L-1"/>
    <n v="3"/>
    <x v="44"/>
    <s v="ipikett1d@xinhuanet.com"/>
    <x v="0"/>
    <s v="Ara"/>
    <s v="L"/>
    <n v="1"/>
    <n v="12.95"/>
    <n v="38.849999999999994"/>
    <x v="2"/>
    <x v="1"/>
    <x v="1"/>
  </r>
  <r>
    <x v="45"/>
    <x v="42"/>
    <s v="45089-52817-WN"/>
    <s v="L-D-0.5"/>
    <n v="2"/>
    <x v="45"/>
    <s v="ibouldon1e@gizmodo.com"/>
    <x v="0"/>
    <s v="Lib"/>
    <s v="D"/>
    <n v="0.5"/>
    <n v="7.77"/>
    <n v="15.54"/>
    <x v="3"/>
    <x v="2"/>
    <x v="1"/>
  </r>
  <r>
    <x v="46"/>
    <x v="43"/>
    <s v="76447-50326-IC"/>
    <s v="L-L-2.5"/>
    <n v="4"/>
    <x v="46"/>
    <s v="kflanders1f@over-blog.com"/>
    <x v="1"/>
    <s v="Lib"/>
    <s v="L"/>
    <n v="2.5"/>
    <n v="36.454999999999998"/>
    <n v="145.82"/>
    <x v="3"/>
    <x v="1"/>
    <x v="0"/>
  </r>
  <r>
    <x v="47"/>
    <x v="44"/>
    <s v="26333-67911-OL"/>
    <s v="R-M-0.5"/>
    <n v="5"/>
    <x v="47"/>
    <s v="hmattioli1g@webmd.com"/>
    <x v="2"/>
    <s v="Rob"/>
    <s v="M"/>
    <n v="0.5"/>
    <n v="5.97"/>
    <n v="29.849999999999998"/>
    <x v="0"/>
    <x v="0"/>
    <x v="1"/>
  </r>
  <r>
    <x v="47"/>
    <x v="44"/>
    <s v="26333-67911-OL"/>
    <s v="L-L-2.5"/>
    <n v="2"/>
    <x v="47"/>
    <s v="hmattioli1g@webmd.com"/>
    <x v="2"/>
    <s v="Lib"/>
    <s v="L"/>
    <n v="2.5"/>
    <n v="36.454999999999998"/>
    <n v="72.91"/>
    <x v="3"/>
    <x v="1"/>
    <x v="1"/>
  </r>
  <r>
    <x v="48"/>
    <x v="45"/>
    <s v="22107-86640-SB"/>
    <s v="L-M-1"/>
    <n v="5"/>
    <x v="48"/>
    <s v="agillard1i@issuu.com"/>
    <x v="0"/>
    <s v="Lib"/>
    <s v="M"/>
    <n v="1"/>
    <n v="14.55"/>
    <n v="72.75"/>
    <x v="3"/>
    <x v="0"/>
    <x v="1"/>
  </r>
  <r>
    <x v="49"/>
    <x v="46"/>
    <s v="09960-34242-LZ"/>
    <s v="L-L-1"/>
    <n v="3"/>
    <x v="49"/>
    <s v=""/>
    <x v="0"/>
    <s v="Lib"/>
    <s v="L"/>
    <n v="1"/>
    <n v="15.85"/>
    <n v="47.55"/>
    <x v="3"/>
    <x v="1"/>
    <x v="1"/>
  </r>
  <r>
    <x v="50"/>
    <x v="47"/>
    <s v="04671-85591-RT"/>
    <s v="E-D-0.2"/>
    <n v="3"/>
    <x v="50"/>
    <s v="tgrizard1k@odnoklassniki.ru"/>
    <x v="0"/>
    <s v="Exc"/>
    <s v="D"/>
    <n v="0.2"/>
    <n v="3.645"/>
    <n v="10.935"/>
    <x v="1"/>
    <x v="2"/>
    <x v="0"/>
  </r>
  <r>
    <x v="51"/>
    <x v="48"/>
    <s v="25729-68859-UA"/>
    <s v="E-L-1"/>
    <n v="4"/>
    <x v="51"/>
    <s v="rrelton1l@stanford.edu"/>
    <x v="0"/>
    <s v="Exc"/>
    <s v="L"/>
    <n v="1"/>
    <n v="14.85"/>
    <n v="59.4"/>
    <x v="1"/>
    <x v="1"/>
    <x v="1"/>
  </r>
  <r>
    <x v="52"/>
    <x v="49"/>
    <s v="05501-86351-NX"/>
    <s v="L-D-2.5"/>
    <n v="3"/>
    <x v="52"/>
    <s v=""/>
    <x v="0"/>
    <s v="Lib"/>
    <s v="D"/>
    <n v="2.5"/>
    <n v="29.784999999999997"/>
    <n v="89.35499999999999"/>
    <x v="3"/>
    <x v="2"/>
    <x v="0"/>
  </r>
  <r>
    <x v="53"/>
    <x v="50"/>
    <s v="04521-04300-OK"/>
    <s v="L-M-0.5"/>
    <n v="3"/>
    <x v="53"/>
    <s v="sgilroy1n@eepurl.com"/>
    <x v="0"/>
    <s v="Lib"/>
    <s v="M"/>
    <n v="0.5"/>
    <n v="8.73"/>
    <n v="26.19"/>
    <x v="3"/>
    <x v="0"/>
    <x v="0"/>
  </r>
  <r>
    <x v="54"/>
    <x v="51"/>
    <s v="58689-55264-VK"/>
    <s v="A-D-2.5"/>
    <n v="5"/>
    <x v="54"/>
    <s v="ccottingham1o@wikipedia.org"/>
    <x v="0"/>
    <s v="Ara"/>
    <s v="D"/>
    <n v="2.5"/>
    <n v="22.884999999999998"/>
    <n v="114.42499999999998"/>
    <x v="2"/>
    <x v="2"/>
    <x v="1"/>
  </r>
  <r>
    <x v="55"/>
    <x v="52"/>
    <s v="79436-73011-MM"/>
    <s v="R-D-0.5"/>
    <n v="5"/>
    <x v="55"/>
    <s v=""/>
    <x v="2"/>
    <s v="Rob"/>
    <s v="D"/>
    <n v="0.5"/>
    <n v="5.3699999999999992"/>
    <n v="26.849999999999994"/>
    <x v="0"/>
    <x v="2"/>
    <x v="0"/>
  </r>
  <r>
    <x v="56"/>
    <x v="53"/>
    <s v="65552-60476-KY"/>
    <s v="L-L-0.2"/>
    <n v="5"/>
    <x v="56"/>
    <s v=""/>
    <x v="0"/>
    <s v="Lib"/>
    <s v="L"/>
    <n v="0.2"/>
    <n v="4.7549999999999999"/>
    <n v="23.774999999999999"/>
    <x v="3"/>
    <x v="1"/>
    <x v="0"/>
  </r>
  <r>
    <x v="57"/>
    <x v="54"/>
    <s v="69904-02729-YS"/>
    <s v="A-M-0.5"/>
    <n v="1"/>
    <x v="57"/>
    <s v="adykes1r@eventbrite.com"/>
    <x v="0"/>
    <s v="Ara"/>
    <s v="M"/>
    <n v="0.5"/>
    <n v="6.75"/>
    <n v="6.75"/>
    <x v="2"/>
    <x v="0"/>
    <x v="1"/>
  </r>
  <r>
    <x v="58"/>
    <x v="55"/>
    <s v="01433-04270-AX"/>
    <s v="R-M-0.5"/>
    <n v="6"/>
    <x v="58"/>
    <s v=""/>
    <x v="0"/>
    <s v="Rob"/>
    <s v="M"/>
    <n v="0.5"/>
    <n v="5.97"/>
    <n v="35.82"/>
    <x v="0"/>
    <x v="0"/>
    <x v="0"/>
  </r>
  <r>
    <x v="59"/>
    <x v="56"/>
    <s v="14204-14186-LA"/>
    <s v="R-D-2.5"/>
    <n v="4"/>
    <x v="59"/>
    <s v="acockrem1t@engadget.com"/>
    <x v="0"/>
    <s v="Rob"/>
    <s v="D"/>
    <n v="2.5"/>
    <n v="20.584999999999997"/>
    <n v="82.339999999999989"/>
    <x v="0"/>
    <x v="2"/>
    <x v="0"/>
  </r>
  <r>
    <x v="60"/>
    <x v="57"/>
    <s v="32948-34398-HC"/>
    <s v="R-L-0.5"/>
    <n v="1"/>
    <x v="60"/>
    <s v="bumpleby1u@soundcloud.com"/>
    <x v="0"/>
    <s v="Rob"/>
    <s v="L"/>
    <n v="0.5"/>
    <n v="7.169999999999999"/>
    <n v="7.169999999999999"/>
    <x v="0"/>
    <x v="1"/>
    <x v="0"/>
  </r>
  <r>
    <x v="61"/>
    <x v="58"/>
    <s v="77343-52608-FF"/>
    <s v="L-L-0.2"/>
    <n v="2"/>
    <x v="61"/>
    <s v="nsaleway1v@dedecms.com"/>
    <x v="0"/>
    <s v="Lib"/>
    <s v="L"/>
    <n v="0.2"/>
    <n v="4.7549999999999999"/>
    <n v="9.51"/>
    <x v="3"/>
    <x v="1"/>
    <x v="1"/>
  </r>
  <r>
    <x v="62"/>
    <x v="59"/>
    <s v="42770-36274-QA"/>
    <s v="R-M-0.2"/>
    <n v="1"/>
    <x v="62"/>
    <s v="hgoulter1w@abc.net.au"/>
    <x v="0"/>
    <s v="Rob"/>
    <s v="M"/>
    <n v="0.2"/>
    <n v="2.9849999999999999"/>
    <n v="2.9849999999999999"/>
    <x v="0"/>
    <x v="0"/>
    <x v="1"/>
  </r>
  <r>
    <x v="63"/>
    <x v="60"/>
    <s v="14103-58987-ZU"/>
    <s v="R-M-1"/>
    <n v="6"/>
    <x v="63"/>
    <s v="grizzello1x@symantec.com"/>
    <x v="2"/>
    <s v="Rob"/>
    <s v="M"/>
    <n v="1"/>
    <n v="9.9499999999999993"/>
    <n v="59.699999999999996"/>
    <x v="0"/>
    <x v="0"/>
    <x v="0"/>
  </r>
  <r>
    <x v="64"/>
    <x v="61"/>
    <s v="69958-32065-SW"/>
    <s v="E-L-2.5"/>
    <n v="4"/>
    <x v="64"/>
    <s v="slist1y@mapquest.com"/>
    <x v="0"/>
    <s v="Exc"/>
    <s v="L"/>
    <n v="2.5"/>
    <n v="34.154999999999994"/>
    <n v="136.61999999999998"/>
    <x v="1"/>
    <x v="1"/>
    <x v="1"/>
  </r>
  <r>
    <x v="65"/>
    <x v="62"/>
    <s v="69533-84907-FA"/>
    <s v="L-L-0.2"/>
    <n v="2"/>
    <x v="65"/>
    <s v="sedmondson1z@theguardian.com"/>
    <x v="1"/>
    <s v="Lib"/>
    <s v="L"/>
    <n v="0.2"/>
    <n v="4.7549999999999999"/>
    <n v="9.51"/>
    <x v="3"/>
    <x v="1"/>
    <x v="1"/>
  </r>
  <r>
    <x v="66"/>
    <x v="63"/>
    <s v="76005-95461-CI"/>
    <s v="A-M-2.5"/>
    <n v="3"/>
    <x v="66"/>
    <s v=""/>
    <x v="0"/>
    <s v="Ara"/>
    <s v="M"/>
    <n v="2.5"/>
    <n v="25.874999999999996"/>
    <n v="77.624999999999986"/>
    <x v="2"/>
    <x v="0"/>
    <x v="1"/>
  </r>
  <r>
    <x v="67"/>
    <x v="64"/>
    <s v="15395-90855-VB"/>
    <s v="L-M-0.2"/>
    <n v="5"/>
    <x v="67"/>
    <s v=""/>
    <x v="0"/>
    <s v="Lib"/>
    <s v="M"/>
    <n v="0.2"/>
    <n v="4.3650000000000002"/>
    <n v="21.825000000000003"/>
    <x v="3"/>
    <x v="0"/>
    <x v="0"/>
  </r>
  <r>
    <x v="68"/>
    <x v="65"/>
    <s v="80640-45811-LB"/>
    <s v="E-L-0.5"/>
    <n v="2"/>
    <x v="68"/>
    <s v="jrangall22@newsvine.com"/>
    <x v="0"/>
    <s v="Exc"/>
    <s v="L"/>
    <n v="0.5"/>
    <n v="8.91"/>
    <n v="17.82"/>
    <x v="1"/>
    <x v="1"/>
    <x v="0"/>
  </r>
  <r>
    <x v="69"/>
    <x v="66"/>
    <s v="28476-04082-GR"/>
    <s v="R-D-1"/>
    <n v="6"/>
    <x v="69"/>
    <s v="kboorn23@ezinearticles.com"/>
    <x v="1"/>
    <s v="Rob"/>
    <s v="D"/>
    <n v="1"/>
    <n v="8.9499999999999993"/>
    <n v="53.699999999999996"/>
    <x v="0"/>
    <x v="2"/>
    <x v="0"/>
  </r>
  <r>
    <x v="70"/>
    <x v="67"/>
    <s v="12018-75670-EU"/>
    <s v="R-L-0.2"/>
    <n v="1"/>
    <x v="70"/>
    <s v=""/>
    <x v="1"/>
    <s v="Rob"/>
    <s v="L"/>
    <n v="0.2"/>
    <n v="3.5849999999999995"/>
    <n v="3.5849999999999995"/>
    <x v="0"/>
    <x v="1"/>
    <x v="0"/>
  </r>
  <r>
    <x v="71"/>
    <x v="68"/>
    <s v="86437-17399-FK"/>
    <s v="E-D-0.2"/>
    <n v="2"/>
    <x v="71"/>
    <s v="celgey25@webs.com"/>
    <x v="0"/>
    <s v="Exc"/>
    <s v="D"/>
    <n v="0.2"/>
    <n v="3.645"/>
    <n v="7.29"/>
    <x v="1"/>
    <x v="2"/>
    <x v="1"/>
  </r>
  <r>
    <x v="72"/>
    <x v="69"/>
    <s v="62979-53167-ML"/>
    <s v="A-M-0.5"/>
    <n v="6"/>
    <x v="72"/>
    <s v="lmizzi26@rakuten.co.jp"/>
    <x v="0"/>
    <s v="Ara"/>
    <s v="M"/>
    <n v="0.5"/>
    <n v="6.75"/>
    <n v="40.5"/>
    <x v="2"/>
    <x v="0"/>
    <x v="0"/>
  </r>
  <r>
    <x v="73"/>
    <x v="70"/>
    <s v="54810-81899-HL"/>
    <s v="R-L-1"/>
    <n v="4"/>
    <x v="73"/>
    <s v="cgiacomazzo27@jigsy.com"/>
    <x v="0"/>
    <s v="Rob"/>
    <s v="L"/>
    <n v="1"/>
    <n v="11.95"/>
    <n v="47.8"/>
    <x v="0"/>
    <x v="1"/>
    <x v="1"/>
  </r>
  <r>
    <x v="74"/>
    <x v="71"/>
    <s v="26103-41504-IB"/>
    <s v="A-L-0.5"/>
    <n v="5"/>
    <x v="74"/>
    <s v="aarnow28@arizona.edu"/>
    <x v="0"/>
    <s v="Ara"/>
    <s v="L"/>
    <n v="0.5"/>
    <n v="7.77"/>
    <n v="38.849999999999994"/>
    <x v="2"/>
    <x v="1"/>
    <x v="0"/>
  </r>
  <r>
    <x v="75"/>
    <x v="72"/>
    <s v="76534-45229-SG"/>
    <s v="L-L-2.5"/>
    <n v="3"/>
    <x v="75"/>
    <s v="syann29@senate.gov"/>
    <x v="0"/>
    <s v="Lib"/>
    <s v="L"/>
    <n v="2.5"/>
    <n v="36.454999999999998"/>
    <n v="109.36499999999999"/>
    <x v="3"/>
    <x v="1"/>
    <x v="0"/>
  </r>
  <r>
    <x v="76"/>
    <x v="73"/>
    <s v="81744-27332-RR"/>
    <s v="L-M-2.5"/>
    <n v="3"/>
    <x v="76"/>
    <s v="bnaulls2a@tiny.cc"/>
    <x v="1"/>
    <s v="Lib"/>
    <s v="M"/>
    <n v="2.5"/>
    <n v="33.464999999999996"/>
    <n v="100.39499999999998"/>
    <x v="3"/>
    <x v="0"/>
    <x v="0"/>
  </r>
  <r>
    <x v="77"/>
    <x v="74"/>
    <s v="91513-75657-PH"/>
    <s v="R-D-2.5"/>
    <n v="4"/>
    <x v="77"/>
    <s v=""/>
    <x v="0"/>
    <s v="Rob"/>
    <s v="D"/>
    <n v="2.5"/>
    <n v="20.584999999999997"/>
    <n v="82.339999999999989"/>
    <x v="0"/>
    <x v="2"/>
    <x v="0"/>
  </r>
  <r>
    <x v="78"/>
    <x v="75"/>
    <s v="30373-66619-CB"/>
    <s v="L-L-0.5"/>
    <n v="1"/>
    <x v="78"/>
    <s v="zsherewood2c@apache.org"/>
    <x v="0"/>
    <s v="Lib"/>
    <s v="L"/>
    <n v="0.5"/>
    <n v="9.51"/>
    <n v="9.51"/>
    <x v="3"/>
    <x v="1"/>
    <x v="1"/>
  </r>
  <r>
    <x v="79"/>
    <x v="76"/>
    <s v="31582-23562-FM"/>
    <s v="A-L-2.5"/>
    <n v="3"/>
    <x v="79"/>
    <s v="jdufaire2d@fc2.com"/>
    <x v="0"/>
    <s v="Ara"/>
    <s v="L"/>
    <n v="2.5"/>
    <n v="29.784999999999997"/>
    <n v="89.35499999999999"/>
    <x v="2"/>
    <x v="1"/>
    <x v="1"/>
  </r>
  <r>
    <x v="79"/>
    <x v="76"/>
    <s v="31582-23562-FM"/>
    <s v="A-D-0.2"/>
    <n v="4"/>
    <x v="79"/>
    <s v="jdufaire2d@fc2.com"/>
    <x v="0"/>
    <s v="Ara"/>
    <s v="D"/>
    <n v="0.2"/>
    <n v="2.9849999999999999"/>
    <n v="11.94"/>
    <x v="2"/>
    <x v="2"/>
    <x v="1"/>
  </r>
  <r>
    <x v="80"/>
    <x v="77"/>
    <s v="81431-12577-VD"/>
    <s v="A-M-1"/>
    <n v="3"/>
    <x v="80"/>
    <s v="bkeaveney2f@netlog.com"/>
    <x v="0"/>
    <s v="Ara"/>
    <s v="M"/>
    <n v="1"/>
    <n v="11.25"/>
    <n v="33.75"/>
    <x v="2"/>
    <x v="0"/>
    <x v="1"/>
  </r>
  <r>
    <x v="81"/>
    <x v="78"/>
    <s v="68894-91205-MP"/>
    <s v="R-L-1"/>
    <n v="3"/>
    <x v="81"/>
    <s v="egrise2g@cargocollective.com"/>
    <x v="0"/>
    <s v="Rob"/>
    <s v="L"/>
    <n v="1"/>
    <n v="11.95"/>
    <n v="35.849999999999994"/>
    <x v="0"/>
    <x v="1"/>
    <x v="1"/>
  </r>
  <r>
    <x v="82"/>
    <x v="79"/>
    <s v="87602-55754-VN"/>
    <s v="A-L-1"/>
    <n v="6"/>
    <x v="82"/>
    <s v="tgottelier2h@vistaprint.com"/>
    <x v="0"/>
    <s v="Ara"/>
    <s v="L"/>
    <n v="1"/>
    <n v="12.95"/>
    <n v="77.699999999999989"/>
    <x v="2"/>
    <x v="1"/>
    <x v="1"/>
  </r>
  <r>
    <x v="83"/>
    <x v="80"/>
    <s v="39181-35745-WH"/>
    <s v="A-L-1"/>
    <n v="4"/>
    <x v="83"/>
    <s v=""/>
    <x v="1"/>
    <s v="Ara"/>
    <s v="L"/>
    <n v="1"/>
    <n v="12.95"/>
    <n v="51.8"/>
    <x v="2"/>
    <x v="1"/>
    <x v="0"/>
  </r>
  <r>
    <x v="84"/>
    <x v="81"/>
    <s v="30381-64762-NG"/>
    <s v="A-M-2.5"/>
    <n v="4"/>
    <x v="84"/>
    <s v="agreenhead2j@dailymail.co.uk"/>
    <x v="0"/>
    <s v="Ara"/>
    <s v="M"/>
    <n v="2.5"/>
    <n v="25.874999999999996"/>
    <n v="103.49999999999999"/>
    <x v="2"/>
    <x v="0"/>
    <x v="1"/>
  </r>
  <r>
    <x v="85"/>
    <x v="82"/>
    <s v="17503-27693-ZH"/>
    <s v="E-L-1"/>
    <n v="3"/>
    <x v="85"/>
    <s v=""/>
    <x v="0"/>
    <s v="Exc"/>
    <s v="L"/>
    <n v="1"/>
    <n v="14.85"/>
    <n v="44.55"/>
    <x v="1"/>
    <x v="1"/>
    <x v="0"/>
  </r>
  <r>
    <x v="86"/>
    <x v="83"/>
    <s v="89442-35633-HJ"/>
    <s v="E-L-0.5"/>
    <n v="4"/>
    <x v="86"/>
    <s v="elangcaster2l@spotify.com"/>
    <x v="2"/>
    <s v="Exc"/>
    <s v="L"/>
    <n v="0.5"/>
    <n v="8.91"/>
    <n v="35.64"/>
    <x v="1"/>
    <x v="1"/>
    <x v="0"/>
  </r>
  <r>
    <x v="87"/>
    <x v="84"/>
    <s v="13654-85265-IL"/>
    <s v="A-D-0.2"/>
    <n v="6"/>
    <x v="87"/>
    <s v=""/>
    <x v="1"/>
    <s v="Ara"/>
    <s v="D"/>
    <n v="0.2"/>
    <n v="2.9849999999999999"/>
    <n v="17.91"/>
    <x v="2"/>
    <x v="2"/>
    <x v="0"/>
  </r>
  <r>
    <x v="88"/>
    <x v="85"/>
    <s v="40946-22090-FP"/>
    <s v="A-M-2.5"/>
    <n v="6"/>
    <x v="88"/>
    <s v="nmagauran2n@51.la"/>
    <x v="0"/>
    <s v="Ara"/>
    <s v="M"/>
    <n v="2.5"/>
    <n v="25.874999999999996"/>
    <n v="155.24999999999997"/>
    <x v="2"/>
    <x v="0"/>
    <x v="1"/>
  </r>
  <r>
    <x v="89"/>
    <x v="86"/>
    <s v="29050-93691-TS"/>
    <s v="A-D-0.2"/>
    <n v="2"/>
    <x v="89"/>
    <s v="vkirdsch2o@google.fr"/>
    <x v="0"/>
    <s v="Ara"/>
    <s v="D"/>
    <n v="0.2"/>
    <n v="2.9849999999999999"/>
    <n v="5.97"/>
    <x v="2"/>
    <x v="2"/>
    <x v="1"/>
  </r>
  <r>
    <x v="90"/>
    <x v="87"/>
    <s v="64395-74865-WF"/>
    <s v="A-M-0.5"/>
    <n v="2"/>
    <x v="90"/>
    <s v="iwhapple2p@com.com"/>
    <x v="0"/>
    <s v="Ara"/>
    <s v="M"/>
    <n v="0.5"/>
    <n v="6.75"/>
    <n v="13.5"/>
    <x v="2"/>
    <x v="0"/>
    <x v="1"/>
  </r>
  <r>
    <x v="91"/>
    <x v="25"/>
    <s v="81861-66046-SU"/>
    <s v="A-D-0.2"/>
    <n v="1"/>
    <x v="91"/>
    <s v=""/>
    <x v="1"/>
    <s v="Ara"/>
    <s v="D"/>
    <n v="0.2"/>
    <n v="2.9849999999999999"/>
    <n v="2.9849999999999999"/>
    <x v="2"/>
    <x v="2"/>
    <x v="1"/>
  </r>
  <r>
    <x v="92"/>
    <x v="88"/>
    <s v="13366-78506-KP"/>
    <s v="L-M-0.2"/>
    <n v="3"/>
    <x v="92"/>
    <s v=""/>
    <x v="0"/>
    <s v="Lib"/>
    <s v="M"/>
    <n v="0.2"/>
    <n v="4.3650000000000002"/>
    <n v="13.095000000000001"/>
    <x v="3"/>
    <x v="0"/>
    <x v="0"/>
  </r>
  <r>
    <x v="93"/>
    <x v="89"/>
    <s v="08847-29858-HN"/>
    <s v="A-L-0.2"/>
    <n v="2"/>
    <x v="93"/>
    <s v=""/>
    <x v="0"/>
    <s v="Ara"/>
    <s v="L"/>
    <n v="0.2"/>
    <n v="3.8849999999999998"/>
    <n v="7.77"/>
    <x v="2"/>
    <x v="1"/>
    <x v="0"/>
  </r>
  <r>
    <x v="94"/>
    <x v="90"/>
    <s v="00539-42510-RY"/>
    <s v="L-D-2.5"/>
    <n v="5"/>
    <x v="94"/>
    <s v="nyoules2t@reference.com"/>
    <x v="1"/>
    <s v="Lib"/>
    <s v="D"/>
    <n v="2.5"/>
    <n v="29.784999999999997"/>
    <n v="148.92499999999998"/>
    <x v="3"/>
    <x v="2"/>
    <x v="0"/>
  </r>
  <r>
    <x v="95"/>
    <x v="91"/>
    <s v="45190-08727-NV"/>
    <s v="L-D-1"/>
    <n v="3"/>
    <x v="95"/>
    <s v="daizikovitz2u@answers.com"/>
    <x v="1"/>
    <s v="Lib"/>
    <s v="D"/>
    <n v="1"/>
    <n v="12.95"/>
    <n v="38.849999999999994"/>
    <x v="3"/>
    <x v="2"/>
    <x v="0"/>
  </r>
  <r>
    <x v="96"/>
    <x v="92"/>
    <s v="87049-37901-FU"/>
    <s v="R-M-0.2"/>
    <n v="4"/>
    <x v="96"/>
    <s v="brevel2v@fastcompany.com"/>
    <x v="0"/>
    <s v="Rob"/>
    <s v="M"/>
    <n v="0.2"/>
    <n v="2.9849999999999999"/>
    <n v="11.94"/>
    <x v="0"/>
    <x v="0"/>
    <x v="1"/>
  </r>
  <r>
    <x v="97"/>
    <x v="93"/>
    <s v="34015-31593-JC"/>
    <s v="L-M-1"/>
    <n v="6"/>
    <x v="97"/>
    <s v="epriddis2w@nationalgeographic.com"/>
    <x v="0"/>
    <s v="Lib"/>
    <s v="M"/>
    <n v="1"/>
    <n v="14.55"/>
    <n v="87.300000000000011"/>
    <x v="3"/>
    <x v="0"/>
    <x v="1"/>
  </r>
  <r>
    <x v="98"/>
    <x v="94"/>
    <s v="90305-50099-SV"/>
    <s v="A-M-0.5"/>
    <n v="6"/>
    <x v="98"/>
    <s v="qveel2x@jugem.jp"/>
    <x v="0"/>
    <s v="Ara"/>
    <s v="M"/>
    <n v="0.5"/>
    <n v="6.75"/>
    <n v="40.5"/>
    <x v="2"/>
    <x v="0"/>
    <x v="0"/>
  </r>
  <r>
    <x v="99"/>
    <x v="95"/>
    <s v="55871-61935-MF"/>
    <s v="E-D-1"/>
    <n v="2"/>
    <x v="99"/>
    <s v="lconyers2y@twitter.com"/>
    <x v="0"/>
    <s v="Exc"/>
    <s v="D"/>
    <n v="1"/>
    <n v="12.15"/>
    <n v="24.3"/>
    <x v="1"/>
    <x v="2"/>
    <x v="1"/>
  </r>
  <r>
    <x v="100"/>
    <x v="96"/>
    <s v="15405-60469-TM"/>
    <s v="R-M-0.5"/>
    <n v="3"/>
    <x v="100"/>
    <s v="pwye2z@dagondesign.com"/>
    <x v="0"/>
    <s v="Rob"/>
    <s v="M"/>
    <n v="0.5"/>
    <n v="5.97"/>
    <n v="17.91"/>
    <x v="0"/>
    <x v="0"/>
    <x v="0"/>
  </r>
  <r>
    <x v="101"/>
    <x v="97"/>
    <s v="06953-94794-FB"/>
    <s v="A-M-0.5"/>
    <n v="4"/>
    <x v="101"/>
    <s v=""/>
    <x v="0"/>
    <s v="Ara"/>
    <s v="M"/>
    <n v="0.5"/>
    <n v="6.75"/>
    <n v="27"/>
    <x v="2"/>
    <x v="0"/>
    <x v="1"/>
  </r>
  <r>
    <x v="102"/>
    <x v="98"/>
    <s v="22305-40299-CY"/>
    <s v="L-D-0.5"/>
    <n v="1"/>
    <x v="102"/>
    <s v="tsheryn31@mtv.com"/>
    <x v="0"/>
    <s v="Lib"/>
    <s v="D"/>
    <n v="0.5"/>
    <n v="7.77"/>
    <n v="7.77"/>
    <x v="3"/>
    <x v="2"/>
    <x v="0"/>
  </r>
  <r>
    <x v="103"/>
    <x v="99"/>
    <s v="09020-56774-GU"/>
    <s v="E-L-0.2"/>
    <n v="3"/>
    <x v="103"/>
    <s v="mredgrave32@cargocollective.com"/>
    <x v="0"/>
    <s v="Exc"/>
    <s v="L"/>
    <n v="0.2"/>
    <n v="4.4550000000000001"/>
    <n v="13.365"/>
    <x v="1"/>
    <x v="1"/>
    <x v="0"/>
  </r>
  <r>
    <x v="104"/>
    <x v="100"/>
    <s v="92926-08470-YS"/>
    <s v="R-D-0.5"/>
    <n v="5"/>
    <x v="104"/>
    <s v="bfominov33@yale.edu"/>
    <x v="0"/>
    <s v="Rob"/>
    <s v="D"/>
    <n v="0.5"/>
    <n v="5.3699999999999992"/>
    <n v="26.849999999999994"/>
    <x v="0"/>
    <x v="2"/>
    <x v="1"/>
  </r>
  <r>
    <x v="105"/>
    <x v="101"/>
    <s v="07250-63194-JO"/>
    <s v="A-M-1"/>
    <n v="1"/>
    <x v="105"/>
    <s v="scritchlow34@un.org"/>
    <x v="0"/>
    <s v="Ara"/>
    <s v="M"/>
    <n v="1"/>
    <n v="11.25"/>
    <n v="11.25"/>
    <x v="2"/>
    <x v="0"/>
    <x v="1"/>
  </r>
  <r>
    <x v="106"/>
    <x v="102"/>
    <s v="63787-96257-TQ"/>
    <s v="L-M-1"/>
    <n v="1"/>
    <x v="106"/>
    <s v="msteptow35@earthlink.net"/>
    <x v="1"/>
    <s v="Lib"/>
    <s v="M"/>
    <n v="1"/>
    <n v="14.55"/>
    <n v="14.55"/>
    <x v="3"/>
    <x v="0"/>
    <x v="1"/>
  </r>
  <r>
    <x v="107"/>
    <x v="103"/>
    <s v="49530-25460-RW"/>
    <s v="R-L-0.2"/>
    <n v="4"/>
    <x v="107"/>
    <s v=""/>
    <x v="0"/>
    <s v="Rob"/>
    <s v="L"/>
    <n v="0.2"/>
    <n v="3.5849999999999995"/>
    <n v="14.339999999999998"/>
    <x v="0"/>
    <x v="1"/>
    <x v="1"/>
  </r>
  <r>
    <x v="108"/>
    <x v="104"/>
    <s v="66508-21373-OQ"/>
    <s v="L-L-1"/>
    <n v="1"/>
    <x v="108"/>
    <s v="imulliner37@pinterest.com"/>
    <x v="2"/>
    <s v="Lib"/>
    <s v="L"/>
    <n v="1"/>
    <n v="15.85"/>
    <n v="15.85"/>
    <x v="3"/>
    <x v="1"/>
    <x v="1"/>
  </r>
  <r>
    <x v="109"/>
    <x v="105"/>
    <s v="20203-03950-FY"/>
    <s v="L-L-0.2"/>
    <n v="4"/>
    <x v="109"/>
    <s v="gstandley38@dion.ne.jp"/>
    <x v="1"/>
    <s v="Lib"/>
    <s v="L"/>
    <n v="0.2"/>
    <n v="4.7549999999999999"/>
    <n v="19.02"/>
    <x v="3"/>
    <x v="1"/>
    <x v="0"/>
  </r>
  <r>
    <x v="110"/>
    <x v="11"/>
    <s v="83895-90735-XH"/>
    <s v="L-L-0.5"/>
    <n v="4"/>
    <x v="110"/>
    <s v="bdrage39@youku.com"/>
    <x v="0"/>
    <s v="Lib"/>
    <s v="L"/>
    <n v="0.5"/>
    <n v="9.51"/>
    <n v="38.04"/>
    <x v="3"/>
    <x v="1"/>
    <x v="1"/>
  </r>
  <r>
    <x v="111"/>
    <x v="106"/>
    <s v="61954-61462-RJ"/>
    <s v="E-D-0.5"/>
    <n v="3"/>
    <x v="111"/>
    <s v="myallop3a@fema.gov"/>
    <x v="0"/>
    <s v="Exc"/>
    <s v="D"/>
    <n v="0.5"/>
    <n v="7.29"/>
    <n v="21.87"/>
    <x v="1"/>
    <x v="2"/>
    <x v="0"/>
  </r>
  <r>
    <x v="112"/>
    <x v="107"/>
    <s v="47939-53158-LS"/>
    <s v="E-M-0.2"/>
    <n v="1"/>
    <x v="112"/>
    <s v="cswitsur3b@chronoengine.com"/>
    <x v="0"/>
    <s v="Exc"/>
    <s v="M"/>
    <n v="0.2"/>
    <n v="4.125"/>
    <n v="4.125"/>
    <x v="1"/>
    <x v="0"/>
    <x v="1"/>
  </r>
  <r>
    <x v="112"/>
    <x v="107"/>
    <s v="47939-53158-LS"/>
    <s v="A-L-0.2"/>
    <n v="1"/>
    <x v="112"/>
    <s v="cswitsur3b@chronoengine.com"/>
    <x v="0"/>
    <s v="Ara"/>
    <s v="L"/>
    <n v="0.2"/>
    <n v="3.8849999999999998"/>
    <n v="3.8849999999999998"/>
    <x v="2"/>
    <x v="1"/>
    <x v="1"/>
  </r>
  <r>
    <x v="112"/>
    <x v="107"/>
    <s v="47939-53158-LS"/>
    <s v="E-M-1"/>
    <n v="5"/>
    <x v="112"/>
    <s v="cswitsur3b@chronoengine.com"/>
    <x v="0"/>
    <s v="Exc"/>
    <s v="M"/>
    <n v="1"/>
    <n v="13.75"/>
    <n v="68.75"/>
    <x v="1"/>
    <x v="0"/>
    <x v="1"/>
  </r>
  <r>
    <x v="113"/>
    <x v="108"/>
    <s v="61513-27752-FA"/>
    <s v="A-D-0.5"/>
    <n v="4"/>
    <x v="113"/>
    <s v="mludwell3e@blogger.com"/>
    <x v="0"/>
    <s v="Ara"/>
    <s v="D"/>
    <n v="0.5"/>
    <n v="5.97"/>
    <n v="23.88"/>
    <x v="2"/>
    <x v="2"/>
    <x v="0"/>
  </r>
  <r>
    <x v="114"/>
    <x v="109"/>
    <s v="89714-19856-WX"/>
    <s v="L-L-2.5"/>
    <n v="4"/>
    <x v="114"/>
    <s v="dbeauchamp3f@usda.gov"/>
    <x v="0"/>
    <s v="Lib"/>
    <s v="L"/>
    <n v="2.5"/>
    <n v="36.454999999999998"/>
    <n v="145.82"/>
    <x v="3"/>
    <x v="1"/>
    <x v="1"/>
  </r>
  <r>
    <x v="115"/>
    <x v="110"/>
    <s v="87979-56781-YV"/>
    <s v="L-M-0.2"/>
    <n v="5"/>
    <x v="115"/>
    <s v="srodliff3g@ted.com"/>
    <x v="0"/>
    <s v="Lib"/>
    <s v="M"/>
    <n v="0.2"/>
    <n v="4.3650000000000002"/>
    <n v="21.825000000000003"/>
    <x v="3"/>
    <x v="0"/>
    <x v="0"/>
  </r>
  <r>
    <x v="116"/>
    <x v="111"/>
    <s v="74126-88836-KA"/>
    <s v="L-M-0.5"/>
    <n v="3"/>
    <x v="116"/>
    <s v="swoodham3h@businesswire.com"/>
    <x v="1"/>
    <s v="Lib"/>
    <s v="M"/>
    <n v="0.5"/>
    <n v="8.73"/>
    <n v="26.19"/>
    <x v="3"/>
    <x v="0"/>
    <x v="0"/>
  </r>
  <r>
    <x v="117"/>
    <x v="112"/>
    <s v="37397-05992-VO"/>
    <s v="A-M-1"/>
    <n v="1"/>
    <x v="117"/>
    <s v="hsynnot3i@about.com"/>
    <x v="0"/>
    <s v="Ara"/>
    <s v="M"/>
    <n v="1"/>
    <n v="11.25"/>
    <n v="11.25"/>
    <x v="2"/>
    <x v="0"/>
    <x v="1"/>
  </r>
  <r>
    <x v="118"/>
    <x v="113"/>
    <s v="54904-18397-UD"/>
    <s v="L-D-1"/>
    <n v="6"/>
    <x v="118"/>
    <s v="rlepere3j@shop-pro.jp"/>
    <x v="1"/>
    <s v="Lib"/>
    <s v="D"/>
    <n v="1"/>
    <n v="12.95"/>
    <n v="77.699999999999989"/>
    <x v="3"/>
    <x v="2"/>
    <x v="1"/>
  </r>
  <r>
    <x v="119"/>
    <x v="114"/>
    <s v="19017-95853-EK"/>
    <s v="A-M-0.5"/>
    <n v="1"/>
    <x v="119"/>
    <s v="twoofinden3k@businesswire.com"/>
    <x v="0"/>
    <s v="Ara"/>
    <s v="M"/>
    <n v="0.5"/>
    <n v="6.75"/>
    <n v="6.75"/>
    <x v="2"/>
    <x v="0"/>
    <x v="1"/>
  </r>
  <r>
    <x v="120"/>
    <x v="115"/>
    <s v="88593-59934-VU"/>
    <s v="E-D-1"/>
    <n v="1"/>
    <x v="120"/>
    <s v="edacca3l@google.pl"/>
    <x v="0"/>
    <s v="Exc"/>
    <s v="D"/>
    <n v="1"/>
    <n v="12.15"/>
    <n v="12.15"/>
    <x v="1"/>
    <x v="2"/>
    <x v="0"/>
  </r>
  <r>
    <x v="121"/>
    <x v="49"/>
    <s v="47493-68564-YM"/>
    <s v="A-L-2.5"/>
    <n v="5"/>
    <x v="121"/>
    <s v=""/>
    <x v="1"/>
    <s v="Ara"/>
    <s v="L"/>
    <n v="2.5"/>
    <n v="29.784999999999997"/>
    <n v="148.92499999999998"/>
    <x v="2"/>
    <x v="1"/>
    <x v="0"/>
  </r>
  <r>
    <x v="122"/>
    <x v="116"/>
    <s v="82246-82543-DW"/>
    <s v="E-D-0.5"/>
    <n v="2"/>
    <x v="122"/>
    <s v="bhindsberg3n@blogs.com"/>
    <x v="0"/>
    <s v="Exc"/>
    <s v="D"/>
    <n v="0.5"/>
    <n v="7.29"/>
    <n v="14.58"/>
    <x v="1"/>
    <x v="2"/>
    <x v="0"/>
  </r>
  <r>
    <x v="123"/>
    <x v="117"/>
    <s v="03384-62101-IY"/>
    <s v="A-L-2.5"/>
    <n v="5"/>
    <x v="123"/>
    <s v="orobins3o@salon.com"/>
    <x v="0"/>
    <s v="Ara"/>
    <s v="L"/>
    <n v="2.5"/>
    <n v="29.784999999999997"/>
    <n v="148.92499999999998"/>
    <x v="2"/>
    <x v="1"/>
    <x v="0"/>
  </r>
  <r>
    <x v="124"/>
    <x v="118"/>
    <s v="86881-41559-OR"/>
    <s v="L-D-1"/>
    <n v="1"/>
    <x v="124"/>
    <s v="osyseland3p@independent.co.uk"/>
    <x v="0"/>
    <s v="Lib"/>
    <s v="D"/>
    <n v="1"/>
    <n v="12.95"/>
    <n v="12.95"/>
    <x v="3"/>
    <x v="2"/>
    <x v="1"/>
  </r>
  <r>
    <x v="125"/>
    <x v="119"/>
    <s v="02536-18494-AQ"/>
    <s v="E-M-2.5"/>
    <n v="3"/>
    <x v="125"/>
    <s v=""/>
    <x v="0"/>
    <s v="Exc"/>
    <s v="M"/>
    <n v="2.5"/>
    <n v="31.624999999999996"/>
    <n v="94.874999999999986"/>
    <x v="1"/>
    <x v="0"/>
    <x v="0"/>
  </r>
  <r>
    <x v="126"/>
    <x v="120"/>
    <s v="58638-01029-CB"/>
    <s v="A-L-0.5"/>
    <n v="5"/>
    <x v="126"/>
    <s v="bmcamish2e@tripadvisor.com"/>
    <x v="0"/>
    <s v="Ara"/>
    <s v="L"/>
    <n v="0.5"/>
    <n v="7.77"/>
    <n v="38.849999999999994"/>
    <x v="2"/>
    <x v="1"/>
    <x v="0"/>
  </r>
  <r>
    <x v="127"/>
    <x v="121"/>
    <s v="90312-11148-LA"/>
    <s v="A-D-0.2"/>
    <n v="4"/>
    <x v="127"/>
    <s v="lkeenleyside3s@topsy.com"/>
    <x v="0"/>
    <s v="Ara"/>
    <s v="D"/>
    <n v="0.2"/>
    <n v="2.9849999999999999"/>
    <n v="11.94"/>
    <x v="2"/>
    <x v="2"/>
    <x v="1"/>
  </r>
  <r>
    <x v="128"/>
    <x v="122"/>
    <s v="68239-74809-TF"/>
    <s v="E-L-2.5"/>
    <n v="3"/>
    <x v="128"/>
    <s v=""/>
    <x v="1"/>
    <s v="Exc"/>
    <s v="L"/>
    <n v="2.5"/>
    <n v="34.154999999999994"/>
    <n v="102.46499999999997"/>
    <x v="1"/>
    <x v="1"/>
    <x v="1"/>
  </r>
  <r>
    <x v="129"/>
    <x v="123"/>
    <s v="91074-60023-IP"/>
    <s v="E-D-1"/>
    <n v="4"/>
    <x v="129"/>
    <s v=""/>
    <x v="0"/>
    <s v="Exc"/>
    <s v="D"/>
    <n v="1"/>
    <n v="12.15"/>
    <n v="48.6"/>
    <x v="1"/>
    <x v="2"/>
    <x v="1"/>
  </r>
  <r>
    <x v="130"/>
    <x v="124"/>
    <s v="07972-83748-JI"/>
    <s v="L-D-1"/>
    <n v="6"/>
    <x v="130"/>
    <s v=""/>
    <x v="0"/>
    <s v="Lib"/>
    <s v="D"/>
    <n v="1"/>
    <n v="12.95"/>
    <n v="77.699999999999989"/>
    <x v="3"/>
    <x v="2"/>
    <x v="0"/>
  </r>
  <r>
    <x v="131"/>
    <x v="125"/>
    <s v="08694-57330-XR"/>
    <s v="L-D-2.5"/>
    <n v="1"/>
    <x v="131"/>
    <s v="vkundt3w@bigcartel.com"/>
    <x v="1"/>
    <s v="Lib"/>
    <s v="D"/>
    <n v="2.5"/>
    <n v="29.784999999999997"/>
    <n v="29.784999999999997"/>
    <x v="3"/>
    <x v="2"/>
    <x v="0"/>
  </r>
  <r>
    <x v="132"/>
    <x v="126"/>
    <s v="68412-11126-YJ"/>
    <s v="A-L-0.2"/>
    <n v="4"/>
    <x v="132"/>
    <s v="bbett3x@google.de"/>
    <x v="0"/>
    <s v="Ara"/>
    <s v="L"/>
    <n v="0.2"/>
    <n v="3.8849999999999998"/>
    <n v="15.54"/>
    <x v="2"/>
    <x v="1"/>
    <x v="0"/>
  </r>
  <r>
    <x v="133"/>
    <x v="127"/>
    <s v="69037-66822-DW"/>
    <s v="E-L-2.5"/>
    <n v="4"/>
    <x v="133"/>
    <s v=""/>
    <x v="1"/>
    <s v="Exc"/>
    <s v="L"/>
    <n v="2.5"/>
    <n v="34.154999999999994"/>
    <n v="136.61999999999998"/>
    <x v="1"/>
    <x v="1"/>
    <x v="0"/>
  </r>
  <r>
    <x v="134"/>
    <x v="128"/>
    <s v="01297-94364-XH"/>
    <s v="L-M-0.5"/>
    <n v="2"/>
    <x v="134"/>
    <s v="dstaite3z@scientificamerican.com"/>
    <x v="0"/>
    <s v="Lib"/>
    <s v="M"/>
    <n v="0.5"/>
    <n v="8.73"/>
    <n v="17.46"/>
    <x v="3"/>
    <x v="0"/>
    <x v="1"/>
  </r>
  <r>
    <x v="135"/>
    <x v="103"/>
    <s v="39919-06540-ZI"/>
    <s v="E-L-2.5"/>
    <n v="2"/>
    <x v="135"/>
    <s v="wkeyse40@apple.com"/>
    <x v="0"/>
    <s v="Exc"/>
    <s v="L"/>
    <n v="2.5"/>
    <n v="34.154999999999994"/>
    <n v="68.309999999999988"/>
    <x v="1"/>
    <x v="1"/>
    <x v="0"/>
  </r>
  <r>
    <x v="136"/>
    <x v="129"/>
    <s v="60512-78550-WS"/>
    <s v="L-M-0.2"/>
    <n v="4"/>
    <x v="136"/>
    <s v="oclausenthue41@marriott.com"/>
    <x v="0"/>
    <s v="Lib"/>
    <s v="M"/>
    <n v="0.2"/>
    <n v="4.3650000000000002"/>
    <n v="17.46"/>
    <x v="3"/>
    <x v="0"/>
    <x v="1"/>
  </r>
  <r>
    <x v="137"/>
    <x v="130"/>
    <s v="40172-12000-AU"/>
    <s v="L-M-1"/>
    <n v="3"/>
    <x v="137"/>
    <s v="lfrancisco42@fema.gov"/>
    <x v="0"/>
    <s v="Lib"/>
    <s v="M"/>
    <n v="1"/>
    <n v="14.55"/>
    <n v="43.650000000000006"/>
    <x v="3"/>
    <x v="0"/>
    <x v="1"/>
  </r>
  <r>
    <x v="137"/>
    <x v="130"/>
    <s v="40172-12000-AU"/>
    <s v="E-M-1"/>
    <n v="2"/>
    <x v="137"/>
    <s v="lfrancisco42@fema.gov"/>
    <x v="0"/>
    <s v="Exc"/>
    <s v="M"/>
    <n v="1"/>
    <n v="13.75"/>
    <n v="27.5"/>
    <x v="1"/>
    <x v="0"/>
    <x v="1"/>
  </r>
  <r>
    <x v="138"/>
    <x v="131"/>
    <s v="39019-13649-CL"/>
    <s v="E-D-0.2"/>
    <n v="5"/>
    <x v="138"/>
    <s v="gskingle44@clickbank.net"/>
    <x v="0"/>
    <s v="Exc"/>
    <s v="D"/>
    <n v="0.2"/>
    <n v="3.645"/>
    <n v="18.225000000000001"/>
    <x v="1"/>
    <x v="2"/>
    <x v="0"/>
  </r>
  <r>
    <x v="139"/>
    <x v="132"/>
    <s v="12715-05198-QU"/>
    <s v="A-M-2.5"/>
    <n v="2"/>
    <x v="139"/>
    <s v=""/>
    <x v="0"/>
    <s v="Ara"/>
    <s v="M"/>
    <n v="2.5"/>
    <n v="25.874999999999996"/>
    <n v="51.749999999999993"/>
    <x v="2"/>
    <x v="0"/>
    <x v="0"/>
  </r>
  <r>
    <x v="140"/>
    <x v="133"/>
    <s v="04513-76520-QO"/>
    <s v="L-D-1"/>
    <n v="1"/>
    <x v="140"/>
    <s v="jbalsillie46@princeton.edu"/>
    <x v="0"/>
    <s v="Lib"/>
    <s v="D"/>
    <n v="1"/>
    <n v="12.95"/>
    <n v="12.95"/>
    <x v="3"/>
    <x v="2"/>
    <x v="0"/>
  </r>
  <r>
    <x v="141"/>
    <x v="134"/>
    <s v="88446-59251-SQ"/>
    <s v="A-M-1"/>
    <n v="3"/>
    <x v="141"/>
    <s v=""/>
    <x v="0"/>
    <s v="Ara"/>
    <s v="M"/>
    <n v="1"/>
    <n v="11.25"/>
    <n v="33.75"/>
    <x v="2"/>
    <x v="0"/>
    <x v="0"/>
  </r>
  <r>
    <x v="142"/>
    <x v="113"/>
    <s v="23779-10274-KN"/>
    <s v="R-M-2.5"/>
    <n v="3"/>
    <x v="142"/>
    <s v="bleffek48@ning.com"/>
    <x v="0"/>
    <s v="Rob"/>
    <s v="M"/>
    <n v="2.5"/>
    <n v="22.884999999999998"/>
    <n v="68.655000000000001"/>
    <x v="0"/>
    <x v="0"/>
    <x v="0"/>
  </r>
  <r>
    <x v="143"/>
    <x v="135"/>
    <s v="57235-92842-DK"/>
    <s v="R-D-0.2"/>
    <n v="1"/>
    <x v="143"/>
    <s v=""/>
    <x v="0"/>
    <s v="Rob"/>
    <s v="D"/>
    <n v="0.2"/>
    <n v="2.6849999999999996"/>
    <n v="2.6849999999999996"/>
    <x v="0"/>
    <x v="2"/>
    <x v="1"/>
  </r>
  <r>
    <x v="144"/>
    <x v="35"/>
    <s v="75977-30364-AY"/>
    <s v="A-D-2.5"/>
    <n v="5"/>
    <x v="144"/>
    <s v="jpray4a@youtube.com"/>
    <x v="0"/>
    <s v="Ara"/>
    <s v="D"/>
    <n v="2.5"/>
    <n v="22.884999999999998"/>
    <n v="114.42499999999998"/>
    <x v="2"/>
    <x v="2"/>
    <x v="1"/>
  </r>
  <r>
    <x v="145"/>
    <x v="136"/>
    <s v="12299-30914-NG"/>
    <s v="A-M-2.5"/>
    <n v="6"/>
    <x v="145"/>
    <s v="gholborn4b@ow.ly"/>
    <x v="0"/>
    <s v="Ara"/>
    <s v="M"/>
    <n v="2.5"/>
    <n v="25.874999999999996"/>
    <n v="155.24999999999997"/>
    <x v="2"/>
    <x v="0"/>
    <x v="0"/>
  </r>
  <r>
    <x v="146"/>
    <x v="137"/>
    <s v="59971-35626-YJ"/>
    <s v="A-M-2.5"/>
    <n v="3"/>
    <x v="146"/>
    <s v="fkeinrat4c@dailymail.co.uk"/>
    <x v="0"/>
    <s v="Ara"/>
    <s v="M"/>
    <n v="2.5"/>
    <n v="25.874999999999996"/>
    <n v="77.624999999999986"/>
    <x v="2"/>
    <x v="0"/>
    <x v="0"/>
  </r>
  <r>
    <x v="147"/>
    <x v="138"/>
    <s v="15380-76513-PS"/>
    <s v="R-D-2.5"/>
    <n v="3"/>
    <x v="147"/>
    <s v="pyea4d@aol.com"/>
    <x v="1"/>
    <s v="Rob"/>
    <s v="D"/>
    <n v="2.5"/>
    <n v="20.584999999999997"/>
    <n v="61.754999999999995"/>
    <x v="0"/>
    <x v="2"/>
    <x v="1"/>
  </r>
  <r>
    <x v="148"/>
    <x v="139"/>
    <s v="73564-98204-EY"/>
    <s v="R-D-2.5"/>
    <n v="6"/>
    <x v="148"/>
    <s v=""/>
    <x v="0"/>
    <s v="Rob"/>
    <s v="D"/>
    <n v="2.5"/>
    <n v="20.584999999999997"/>
    <n v="123.50999999999999"/>
    <x v="0"/>
    <x v="2"/>
    <x v="0"/>
  </r>
  <r>
    <x v="149"/>
    <x v="140"/>
    <s v="72282-40594-RX"/>
    <s v="L-L-2.5"/>
    <n v="6"/>
    <x v="149"/>
    <s v=""/>
    <x v="0"/>
    <s v="Lib"/>
    <s v="L"/>
    <n v="2.5"/>
    <n v="36.454999999999998"/>
    <n v="218.73"/>
    <x v="3"/>
    <x v="1"/>
    <x v="1"/>
  </r>
  <r>
    <x v="150"/>
    <x v="141"/>
    <s v="17514-94165-RJ"/>
    <s v="E-M-0.5"/>
    <n v="4"/>
    <x v="150"/>
    <s v="kswede4g@addthis.com"/>
    <x v="0"/>
    <s v="Exc"/>
    <s v="M"/>
    <n v="0.5"/>
    <n v="8.25"/>
    <n v="33"/>
    <x v="1"/>
    <x v="0"/>
    <x v="1"/>
  </r>
  <r>
    <x v="151"/>
    <x v="142"/>
    <s v="56248-75861-JX"/>
    <s v="A-L-0.5"/>
    <n v="3"/>
    <x v="151"/>
    <s v="lrubrow4h@microsoft.com"/>
    <x v="0"/>
    <s v="Ara"/>
    <s v="L"/>
    <n v="0.5"/>
    <n v="7.77"/>
    <n v="23.31"/>
    <x v="2"/>
    <x v="1"/>
    <x v="1"/>
  </r>
  <r>
    <x v="152"/>
    <x v="143"/>
    <s v="97855-54761-IS"/>
    <s v="E-D-0.5"/>
    <n v="3"/>
    <x v="152"/>
    <s v="dtift4i@netvibes.com"/>
    <x v="0"/>
    <s v="Exc"/>
    <s v="D"/>
    <n v="0.5"/>
    <n v="7.29"/>
    <n v="21.87"/>
    <x v="1"/>
    <x v="2"/>
    <x v="0"/>
  </r>
  <r>
    <x v="153"/>
    <x v="144"/>
    <s v="96544-91644-IT"/>
    <s v="R-D-0.2"/>
    <n v="6"/>
    <x v="153"/>
    <s v="gschonfeld4j@oracle.com"/>
    <x v="0"/>
    <s v="Rob"/>
    <s v="D"/>
    <n v="0.2"/>
    <n v="2.6849999999999996"/>
    <n v="16.11"/>
    <x v="0"/>
    <x v="2"/>
    <x v="1"/>
  </r>
  <r>
    <x v="154"/>
    <x v="145"/>
    <s v="51971-70393-QM"/>
    <s v="E-D-0.5"/>
    <n v="4"/>
    <x v="154"/>
    <s v="cfeye4k@google.co.jp"/>
    <x v="1"/>
    <s v="Exc"/>
    <s v="D"/>
    <n v="0.5"/>
    <n v="7.29"/>
    <n v="29.16"/>
    <x v="1"/>
    <x v="2"/>
    <x v="1"/>
  </r>
  <r>
    <x v="155"/>
    <x v="146"/>
    <s v="06812-11924-IK"/>
    <s v="R-D-1"/>
    <n v="6"/>
    <x v="155"/>
    <s v=""/>
    <x v="0"/>
    <s v="Rob"/>
    <s v="D"/>
    <n v="1"/>
    <n v="8.9499999999999993"/>
    <n v="53.699999999999996"/>
    <x v="0"/>
    <x v="2"/>
    <x v="0"/>
  </r>
  <r>
    <x v="156"/>
    <x v="147"/>
    <s v="59741-90220-OW"/>
    <s v="R-D-0.5"/>
    <n v="5"/>
    <x v="156"/>
    <s v=""/>
    <x v="0"/>
    <s v="Rob"/>
    <s v="D"/>
    <n v="0.5"/>
    <n v="5.3699999999999992"/>
    <n v="26.849999999999994"/>
    <x v="0"/>
    <x v="2"/>
    <x v="0"/>
  </r>
  <r>
    <x v="157"/>
    <x v="148"/>
    <s v="62682-27930-PD"/>
    <s v="E-M-0.5"/>
    <n v="5"/>
    <x v="157"/>
    <s v="tfero4n@comsenz.com"/>
    <x v="0"/>
    <s v="Exc"/>
    <s v="M"/>
    <n v="0.5"/>
    <n v="8.25"/>
    <n v="41.25"/>
    <x v="1"/>
    <x v="0"/>
    <x v="0"/>
  </r>
  <r>
    <x v="158"/>
    <x v="149"/>
    <s v="00256-19905-YG"/>
    <s v="A-M-0.5"/>
    <n v="6"/>
    <x v="158"/>
    <s v=""/>
    <x v="1"/>
    <s v="Ara"/>
    <s v="M"/>
    <n v="0.5"/>
    <n v="6.75"/>
    <n v="40.5"/>
    <x v="2"/>
    <x v="0"/>
    <x v="1"/>
  </r>
  <r>
    <x v="159"/>
    <x v="150"/>
    <s v="38890-22576-UI"/>
    <s v="R-D-1"/>
    <n v="2"/>
    <x v="159"/>
    <s v="fdauney4p@sphinn.com"/>
    <x v="1"/>
    <s v="Rob"/>
    <s v="D"/>
    <n v="1"/>
    <n v="8.9499999999999993"/>
    <n v="17.899999999999999"/>
    <x v="0"/>
    <x v="2"/>
    <x v="1"/>
  </r>
  <r>
    <x v="160"/>
    <x v="151"/>
    <s v="94573-61802-PH"/>
    <s v="E-L-2.5"/>
    <n v="2"/>
    <x v="160"/>
    <s v="searley4q@youku.com"/>
    <x v="2"/>
    <s v="Exc"/>
    <s v="L"/>
    <n v="2.5"/>
    <n v="34.154999999999994"/>
    <n v="68.309999999999988"/>
    <x v="1"/>
    <x v="1"/>
    <x v="1"/>
  </r>
  <r>
    <x v="161"/>
    <x v="13"/>
    <s v="86447-02699-UT"/>
    <s v="E-M-2.5"/>
    <n v="2"/>
    <x v="161"/>
    <s v="mchamberlayne4r@bigcartel.com"/>
    <x v="0"/>
    <s v="Exc"/>
    <s v="M"/>
    <n v="2.5"/>
    <n v="31.624999999999996"/>
    <n v="63.249999999999993"/>
    <x v="1"/>
    <x v="0"/>
    <x v="0"/>
  </r>
  <r>
    <x v="162"/>
    <x v="79"/>
    <s v="51432-27169-KN"/>
    <s v="E-D-0.5"/>
    <n v="3"/>
    <x v="162"/>
    <s v="bflaherty4s@moonfruit.com"/>
    <x v="1"/>
    <s v="Exc"/>
    <s v="D"/>
    <n v="0.5"/>
    <n v="7.29"/>
    <n v="21.87"/>
    <x v="1"/>
    <x v="2"/>
    <x v="1"/>
  </r>
  <r>
    <x v="163"/>
    <x v="152"/>
    <s v="43074-00987-PB"/>
    <s v="R-M-2.5"/>
    <n v="4"/>
    <x v="163"/>
    <s v="ocolbeck4t@sina.com.cn"/>
    <x v="0"/>
    <s v="Rob"/>
    <s v="M"/>
    <n v="2.5"/>
    <n v="22.884999999999998"/>
    <n v="91.539999999999992"/>
    <x v="0"/>
    <x v="0"/>
    <x v="1"/>
  </r>
  <r>
    <x v="164"/>
    <x v="153"/>
    <s v="04739-85772-QT"/>
    <s v="E-L-2.5"/>
    <n v="6"/>
    <x v="164"/>
    <s v=""/>
    <x v="0"/>
    <s v="Exc"/>
    <s v="L"/>
    <n v="2.5"/>
    <n v="34.154999999999994"/>
    <n v="204.92999999999995"/>
    <x v="1"/>
    <x v="1"/>
    <x v="0"/>
  </r>
  <r>
    <x v="165"/>
    <x v="154"/>
    <s v="28279-78469-YW"/>
    <s v="E-M-2.5"/>
    <n v="2"/>
    <x v="165"/>
    <s v="ehobbing4v@nsw.gov.au"/>
    <x v="0"/>
    <s v="Exc"/>
    <s v="M"/>
    <n v="2.5"/>
    <n v="31.624999999999996"/>
    <n v="63.249999999999993"/>
    <x v="1"/>
    <x v="0"/>
    <x v="0"/>
  </r>
  <r>
    <x v="166"/>
    <x v="155"/>
    <s v="91829-99544-DS"/>
    <s v="E-L-2.5"/>
    <n v="1"/>
    <x v="166"/>
    <s v="othynne4w@auda.org.au"/>
    <x v="0"/>
    <s v="Exc"/>
    <s v="L"/>
    <n v="2.5"/>
    <n v="34.154999999999994"/>
    <n v="34.154999999999994"/>
    <x v="1"/>
    <x v="1"/>
    <x v="0"/>
  </r>
  <r>
    <x v="167"/>
    <x v="156"/>
    <s v="38978-59582-JP"/>
    <s v="R-L-2.5"/>
    <n v="4"/>
    <x v="167"/>
    <s v="eheining4x@flickr.com"/>
    <x v="0"/>
    <s v="Rob"/>
    <s v="L"/>
    <n v="2.5"/>
    <n v="27.484999999999996"/>
    <n v="109.93999999999998"/>
    <x v="0"/>
    <x v="1"/>
    <x v="0"/>
  </r>
  <r>
    <x v="168"/>
    <x v="22"/>
    <s v="86504-96610-BH"/>
    <s v="A-L-1"/>
    <n v="2"/>
    <x v="168"/>
    <s v="kmelloi4y@imdb.com"/>
    <x v="0"/>
    <s v="Ara"/>
    <s v="L"/>
    <n v="1"/>
    <n v="12.95"/>
    <n v="25.9"/>
    <x v="2"/>
    <x v="1"/>
    <x v="1"/>
  </r>
  <r>
    <x v="169"/>
    <x v="157"/>
    <s v="75986-98864-EZ"/>
    <s v="A-D-0.2"/>
    <n v="1"/>
    <x v="169"/>
    <s v=""/>
    <x v="1"/>
    <s v="Ara"/>
    <s v="D"/>
    <n v="0.2"/>
    <n v="2.9849999999999999"/>
    <n v="2.9849999999999999"/>
    <x v="2"/>
    <x v="2"/>
    <x v="1"/>
  </r>
  <r>
    <x v="170"/>
    <x v="158"/>
    <s v="66776-88682-RG"/>
    <s v="E-L-0.2"/>
    <n v="5"/>
    <x v="170"/>
    <s v="amussen50@51.la"/>
    <x v="0"/>
    <s v="Exc"/>
    <s v="L"/>
    <n v="0.2"/>
    <n v="4.4550000000000001"/>
    <n v="22.274999999999999"/>
    <x v="1"/>
    <x v="1"/>
    <x v="1"/>
  </r>
  <r>
    <x v="170"/>
    <x v="158"/>
    <s v="66776-88682-RG"/>
    <s v="A-D-0.5"/>
    <n v="5"/>
    <x v="170"/>
    <s v="amussen50@51.la"/>
    <x v="0"/>
    <s v="Ara"/>
    <s v="D"/>
    <n v="0.5"/>
    <n v="5.97"/>
    <n v="29.849999999999998"/>
    <x v="2"/>
    <x v="2"/>
    <x v="1"/>
  </r>
  <r>
    <x v="171"/>
    <x v="78"/>
    <s v="85851-78384-DM"/>
    <s v="R-D-0.5"/>
    <n v="6"/>
    <x v="171"/>
    <s v="amundford52@nbcnews.com"/>
    <x v="0"/>
    <s v="Rob"/>
    <s v="D"/>
    <n v="0.5"/>
    <n v="5.3699999999999992"/>
    <n v="32.22"/>
    <x v="0"/>
    <x v="2"/>
    <x v="1"/>
  </r>
  <r>
    <x v="172"/>
    <x v="159"/>
    <s v="55232-81621-BX"/>
    <s v="E-M-0.2"/>
    <n v="2"/>
    <x v="172"/>
    <s v="twalas53@google.ca"/>
    <x v="0"/>
    <s v="Exc"/>
    <s v="M"/>
    <n v="0.2"/>
    <n v="4.125"/>
    <n v="8.25"/>
    <x v="1"/>
    <x v="0"/>
    <x v="1"/>
  </r>
  <r>
    <x v="173"/>
    <x v="160"/>
    <s v="80310-92912-JA"/>
    <s v="A-L-0.5"/>
    <n v="4"/>
    <x v="173"/>
    <s v="iblazewicz54@thetimes.co.uk"/>
    <x v="0"/>
    <s v="Ara"/>
    <s v="L"/>
    <n v="0.5"/>
    <n v="7.77"/>
    <n v="31.08"/>
    <x v="2"/>
    <x v="1"/>
    <x v="1"/>
  </r>
  <r>
    <x v="174"/>
    <x v="161"/>
    <s v="19821-05175-WZ"/>
    <s v="E-D-0.5"/>
    <n v="5"/>
    <x v="174"/>
    <s v="arizzetti55@naver.com"/>
    <x v="0"/>
    <s v="Exc"/>
    <s v="D"/>
    <n v="0.5"/>
    <n v="7.29"/>
    <n v="36.450000000000003"/>
    <x v="1"/>
    <x v="2"/>
    <x v="0"/>
  </r>
  <r>
    <x v="175"/>
    <x v="162"/>
    <s v="01338-83217-GV"/>
    <s v="R-M-2.5"/>
    <n v="3"/>
    <x v="175"/>
    <s v="mmeriet56@noaa.gov"/>
    <x v="0"/>
    <s v="Rob"/>
    <s v="M"/>
    <n v="2.5"/>
    <n v="22.884999999999998"/>
    <n v="68.655000000000001"/>
    <x v="0"/>
    <x v="0"/>
    <x v="1"/>
  </r>
  <r>
    <x v="176"/>
    <x v="70"/>
    <s v="66044-25298-TA"/>
    <s v="L-M-0.5"/>
    <n v="5"/>
    <x v="176"/>
    <s v="lpratt57@netvibes.com"/>
    <x v="0"/>
    <s v="Lib"/>
    <s v="M"/>
    <n v="0.5"/>
    <n v="8.73"/>
    <n v="43.650000000000006"/>
    <x v="3"/>
    <x v="0"/>
    <x v="0"/>
  </r>
  <r>
    <x v="177"/>
    <x v="163"/>
    <s v="28728-47861-TZ"/>
    <s v="E-L-0.2"/>
    <n v="1"/>
    <x v="177"/>
    <s v="akitchingham58@com.com"/>
    <x v="0"/>
    <s v="Exc"/>
    <s v="L"/>
    <n v="0.2"/>
    <n v="4.4550000000000001"/>
    <n v="4.4550000000000001"/>
    <x v="1"/>
    <x v="1"/>
    <x v="0"/>
  </r>
  <r>
    <x v="178"/>
    <x v="153"/>
    <s v="32638-38620-AX"/>
    <s v="L-M-1"/>
    <n v="3"/>
    <x v="178"/>
    <s v="bbartholin59@xinhuanet.com"/>
    <x v="0"/>
    <s v="Lib"/>
    <s v="M"/>
    <n v="1"/>
    <n v="14.55"/>
    <n v="43.650000000000006"/>
    <x v="3"/>
    <x v="0"/>
    <x v="0"/>
  </r>
  <r>
    <x v="179"/>
    <x v="164"/>
    <s v="83163-65741-IH"/>
    <s v="L-M-2.5"/>
    <n v="1"/>
    <x v="179"/>
    <s v="mprinn5a@usa.gov"/>
    <x v="0"/>
    <s v="Lib"/>
    <s v="M"/>
    <n v="2.5"/>
    <n v="33.464999999999996"/>
    <n v="33.464999999999996"/>
    <x v="3"/>
    <x v="0"/>
    <x v="0"/>
  </r>
  <r>
    <x v="180"/>
    <x v="165"/>
    <s v="89422-58281-FD"/>
    <s v="L-D-0.2"/>
    <n v="5"/>
    <x v="180"/>
    <s v="abaudino5b@netvibes.com"/>
    <x v="0"/>
    <s v="Lib"/>
    <s v="D"/>
    <n v="0.2"/>
    <n v="3.8849999999999998"/>
    <n v="19.424999999999997"/>
    <x v="3"/>
    <x v="2"/>
    <x v="0"/>
  </r>
  <r>
    <x v="181"/>
    <x v="166"/>
    <s v="76293-30918-DQ"/>
    <s v="E-D-1"/>
    <n v="6"/>
    <x v="181"/>
    <s v="ppetrushanko5c@blinklist.com"/>
    <x v="1"/>
    <s v="Exc"/>
    <s v="D"/>
    <n v="1"/>
    <n v="12.15"/>
    <n v="72.900000000000006"/>
    <x v="1"/>
    <x v="2"/>
    <x v="0"/>
  </r>
  <r>
    <x v="182"/>
    <x v="167"/>
    <s v="86779-84838-EJ"/>
    <s v="E-L-1"/>
    <n v="3"/>
    <x v="182"/>
    <s v=""/>
    <x v="0"/>
    <s v="Exc"/>
    <s v="L"/>
    <n v="1"/>
    <n v="14.85"/>
    <n v="44.55"/>
    <x v="1"/>
    <x v="1"/>
    <x v="1"/>
  </r>
  <r>
    <x v="183"/>
    <x v="168"/>
    <s v="66806-41795-MX"/>
    <s v="E-D-0.5"/>
    <n v="5"/>
    <x v="183"/>
    <s v="elaird5e@bing.com"/>
    <x v="0"/>
    <s v="Exc"/>
    <s v="D"/>
    <n v="0.5"/>
    <n v="7.29"/>
    <n v="36.450000000000003"/>
    <x v="1"/>
    <x v="2"/>
    <x v="1"/>
  </r>
  <r>
    <x v="184"/>
    <x v="169"/>
    <s v="64875-71224-UI"/>
    <s v="A-L-1"/>
    <n v="3"/>
    <x v="184"/>
    <s v="mhowsden5f@infoseek.co.jp"/>
    <x v="0"/>
    <s v="Ara"/>
    <s v="L"/>
    <n v="1"/>
    <n v="12.95"/>
    <n v="38.849999999999994"/>
    <x v="2"/>
    <x v="1"/>
    <x v="1"/>
  </r>
  <r>
    <x v="185"/>
    <x v="170"/>
    <s v="16982-35708-BZ"/>
    <s v="E-L-0.5"/>
    <n v="6"/>
    <x v="185"/>
    <s v="ncuttler5g@parallels.com"/>
    <x v="0"/>
    <s v="Exc"/>
    <s v="L"/>
    <n v="0.5"/>
    <n v="8.91"/>
    <n v="53.46"/>
    <x v="1"/>
    <x v="1"/>
    <x v="1"/>
  </r>
  <r>
    <x v="185"/>
    <x v="170"/>
    <s v="16982-35708-BZ"/>
    <s v="L-D-2.5"/>
    <n v="2"/>
    <x v="185"/>
    <s v="ncuttler5g@parallels.com"/>
    <x v="0"/>
    <s v="Lib"/>
    <s v="D"/>
    <n v="2.5"/>
    <n v="29.784999999999997"/>
    <n v="59.569999999999993"/>
    <x v="3"/>
    <x v="2"/>
    <x v="1"/>
  </r>
  <r>
    <x v="185"/>
    <x v="170"/>
    <s v="16982-35708-BZ"/>
    <s v="L-D-2.5"/>
    <n v="3"/>
    <x v="185"/>
    <s v="ncuttler5g@parallels.com"/>
    <x v="0"/>
    <s v="Lib"/>
    <s v="D"/>
    <n v="2.5"/>
    <n v="29.784999999999997"/>
    <n v="89.35499999999999"/>
    <x v="3"/>
    <x v="2"/>
    <x v="1"/>
  </r>
  <r>
    <x v="185"/>
    <x v="170"/>
    <s v="16982-35708-BZ"/>
    <s v="L-L-0.5"/>
    <n v="4"/>
    <x v="185"/>
    <s v="ncuttler5g@parallels.com"/>
    <x v="0"/>
    <s v="Lib"/>
    <s v="L"/>
    <n v="0.5"/>
    <n v="9.51"/>
    <n v="38.04"/>
    <x v="3"/>
    <x v="1"/>
    <x v="1"/>
  </r>
  <r>
    <x v="185"/>
    <x v="170"/>
    <s v="16982-35708-BZ"/>
    <s v="E-M-1"/>
    <n v="3"/>
    <x v="185"/>
    <s v="ncuttler5g@parallels.com"/>
    <x v="0"/>
    <s v="Exc"/>
    <s v="M"/>
    <n v="1"/>
    <n v="13.75"/>
    <n v="41.25"/>
    <x v="1"/>
    <x v="0"/>
    <x v="1"/>
  </r>
  <r>
    <x v="186"/>
    <x v="171"/>
    <s v="66708-26678-QK"/>
    <s v="L-L-0.5"/>
    <n v="6"/>
    <x v="186"/>
    <s v=""/>
    <x v="0"/>
    <s v="Lib"/>
    <s v="L"/>
    <n v="0.5"/>
    <n v="9.51"/>
    <n v="57.06"/>
    <x v="3"/>
    <x v="1"/>
    <x v="1"/>
  </r>
  <r>
    <x v="187"/>
    <x v="172"/>
    <s v="08743-09057-OO"/>
    <s v="L-D-2.5"/>
    <n v="6"/>
    <x v="187"/>
    <s v="tfelip5m@typepad.com"/>
    <x v="0"/>
    <s v="Lib"/>
    <s v="D"/>
    <n v="2.5"/>
    <n v="29.784999999999997"/>
    <n v="178.70999999999998"/>
    <x v="3"/>
    <x v="2"/>
    <x v="0"/>
  </r>
  <r>
    <x v="188"/>
    <x v="173"/>
    <s v="37490-01572-JW"/>
    <s v="L-L-0.2"/>
    <n v="1"/>
    <x v="188"/>
    <s v="vle5n@disqus.com"/>
    <x v="0"/>
    <s v="Lib"/>
    <s v="L"/>
    <n v="0.2"/>
    <n v="4.7549999999999999"/>
    <n v="4.7549999999999999"/>
    <x v="3"/>
    <x v="1"/>
    <x v="1"/>
  </r>
  <r>
    <x v="189"/>
    <x v="174"/>
    <s v="01811-60350-CU"/>
    <s v="E-M-1"/>
    <n v="6"/>
    <x v="189"/>
    <s v=""/>
    <x v="0"/>
    <s v="Exc"/>
    <s v="M"/>
    <n v="1"/>
    <n v="13.75"/>
    <n v="82.5"/>
    <x v="1"/>
    <x v="0"/>
    <x v="1"/>
  </r>
  <r>
    <x v="190"/>
    <x v="175"/>
    <s v="24766-58139-GT"/>
    <s v="R-D-0.2"/>
    <n v="3"/>
    <x v="190"/>
    <s v=""/>
    <x v="0"/>
    <s v="Rob"/>
    <s v="D"/>
    <n v="0.2"/>
    <n v="2.6849999999999996"/>
    <n v="8.0549999999999997"/>
    <x v="0"/>
    <x v="2"/>
    <x v="0"/>
  </r>
  <r>
    <x v="191"/>
    <x v="176"/>
    <s v="90123-70970-NY"/>
    <s v="A-M-1"/>
    <n v="2"/>
    <x v="191"/>
    <s v="npoolman5q@howstuffworks.com"/>
    <x v="0"/>
    <s v="Ara"/>
    <s v="M"/>
    <n v="1"/>
    <n v="11.25"/>
    <n v="22.5"/>
    <x v="2"/>
    <x v="0"/>
    <x v="1"/>
  </r>
  <r>
    <x v="192"/>
    <x v="142"/>
    <s v="93809-05424-MG"/>
    <s v="A-M-0.5"/>
    <n v="6"/>
    <x v="192"/>
    <s v="oduny5r@constantcontact.com"/>
    <x v="0"/>
    <s v="Ara"/>
    <s v="M"/>
    <n v="0.5"/>
    <n v="6.75"/>
    <n v="40.5"/>
    <x v="2"/>
    <x v="0"/>
    <x v="0"/>
  </r>
  <r>
    <x v="193"/>
    <x v="177"/>
    <s v="85425-33494-HQ"/>
    <s v="E-D-0.5"/>
    <n v="4"/>
    <x v="193"/>
    <s v="chalfhide5s@google.ru"/>
    <x v="1"/>
    <s v="Exc"/>
    <s v="D"/>
    <n v="0.5"/>
    <n v="7.29"/>
    <n v="29.16"/>
    <x v="1"/>
    <x v="2"/>
    <x v="0"/>
  </r>
  <r>
    <x v="194"/>
    <x v="178"/>
    <s v="54387-64897-XC"/>
    <s v="A-M-0.5"/>
    <n v="1"/>
    <x v="194"/>
    <s v="fmalecky5t@list-manage.com"/>
    <x v="2"/>
    <s v="Ara"/>
    <s v="M"/>
    <n v="0.5"/>
    <n v="6.75"/>
    <n v="6.75"/>
    <x v="2"/>
    <x v="0"/>
    <x v="1"/>
  </r>
  <r>
    <x v="195"/>
    <x v="179"/>
    <s v="01035-70465-UO"/>
    <s v="L-D-1"/>
    <n v="4"/>
    <x v="195"/>
    <s v="aattwater5u@wikia.com"/>
    <x v="0"/>
    <s v="Lib"/>
    <s v="D"/>
    <n v="1"/>
    <n v="12.95"/>
    <n v="51.8"/>
    <x v="3"/>
    <x v="2"/>
    <x v="0"/>
  </r>
  <r>
    <x v="196"/>
    <x v="180"/>
    <s v="84260-39432-ML"/>
    <s v="E-L-0.5"/>
    <n v="6"/>
    <x v="196"/>
    <s v="mwhellans5v@mapquest.com"/>
    <x v="0"/>
    <s v="Exc"/>
    <s v="L"/>
    <n v="0.5"/>
    <n v="8.91"/>
    <n v="53.46"/>
    <x v="1"/>
    <x v="1"/>
    <x v="1"/>
  </r>
  <r>
    <x v="197"/>
    <x v="181"/>
    <s v="69779-40609-RS"/>
    <s v="E-D-0.2"/>
    <n v="4"/>
    <x v="197"/>
    <s v="dcamilletti5w@businesswire.com"/>
    <x v="0"/>
    <s v="Exc"/>
    <s v="D"/>
    <n v="0.2"/>
    <n v="3.645"/>
    <n v="14.58"/>
    <x v="1"/>
    <x v="2"/>
    <x v="0"/>
  </r>
  <r>
    <x v="198"/>
    <x v="182"/>
    <s v="80247-70000-HT"/>
    <s v="R-D-2.5"/>
    <n v="1"/>
    <x v="198"/>
    <s v="egalgey5x@wufoo.com"/>
    <x v="0"/>
    <s v="Rob"/>
    <s v="D"/>
    <n v="2.5"/>
    <n v="20.584999999999997"/>
    <n v="20.584999999999997"/>
    <x v="0"/>
    <x v="2"/>
    <x v="1"/>
  </r>
  <r>
    <x v="199"/>
    <x v="183"/>
    <s v="35058-04550-VC"/>
    <s v="L-L-1"/>
    <n v="2"/>
    <x v="199"/>
    <s v="mhame5y@newsvine.com"/>
    <x v="1"/>
    <s v="Lib"/>
    <s v="L"/>
    <n v="1"/>
    <n v="15.85"/>
    <n v="31.7"/>
    <x v="3"/>
    <x v="1"/>
    <x v="1"/>
  </r>
  <r>
    <x v="200"/>
    <x v="184"/>
    <s v="27226-53717-SY"/>
    <s v="L-D-0.2"/>
    <n v="6"/>
    <x v="200"/>
    <s v="igurnee5z@usnews.com"/>
    <x v="0"/>
    <s v="Lib"/>
    <s v="D"/>
    <n v="0.2"/>
    <n v="3.8849999999999998"/>
    <n v="23.31"/>
    <x v="3"/>
    <x v="2"/>
    <x v="1"/>
  </r>
  <r>
    <x v="201"/>
    <x v="185"/>
    <s v="02002-98725-CH"/>
    <s v="L-M-1"/>
    <n v="4"/>
    <x v="201"/>
    <s v="asnowding60@comsenz.com"/>
    <x v="0"/>
    <s v="Lib"/>
    <s v="M"/>
    <n v="1"/>
    <n v="14.55"/>
    <n v="58.2"/>
    <x v="3"/>
    <x v="0"/>
    <x v="0"/>
  </r>
  <r>
    <x v="202"/>
    <x v="186"/>
    <s v="38487-01549-MV"/>
    <s v="E-L-0.5"/>
    <n v="4"/>
    <x v="202"/>
    <s v="gpoinsett61@berkeley.edu"/>
    <x v="0"/>
    <s v="Exc"/>
    <s v="L"/>
    <n v="0.5"/>
    <n v="8.91"/>
    <n v="35.64"/>
    <x v="1"/>
    <x v="1"/>
    <x v="1"/>
  </r>
  <r>
    <x v="203"/>
    <x v="187"/>
    <s v="98573-41811-EQ"/>
    <s v="A-M-1"/>
    <n v="5"/>
    <x v="203"/>
    <s v="rfurman62@t.co"/>
    <x v="1"/>
    <s v="Ara"/>
    <s v="M"/>
    <n v="1"/>
    <n v="11.25"/>
    <n v="56.25"/>
    <x v="2"/>
    <x v="0"/>
    <x v="0"/>
  </r>
  <r>
    <x v="204"/>
    <x v="148"/>
    <s v="72463-75685-MV"/>
    <s v="R-L-0.2"/>
    <n v="3"/>
    <x v="204"/>
    <s v="ccrosier63@xrea.com"/>
    <x v="0"/>
    <s v="Rob"/>
    <s v="L"/>
    <n v="0.2"/>
    <n v="3.5849999999999995"/>
    <n v="10.754999999999999"/>
    <x v="0"/>
    <x v="1"/>
    <x v="1"/>
  </r>
  <r>
    <x v="204"/>
    <x v="148"/>
    <s v="72463-75685-MV"/>
    <s v="R-M-0.2"/>
    <n v="5"/>
    <x v="204"/>
    <s v="ccrosier63@xrea.com"/>
    <x v="0"/>
    <s v="Rob"/>
    <s v="M"/>
    <n v="0.2"/>
    <n v="2.9849999999999999"/>
    <n v="14.924999999999999"/>
    <x v="0"/>
    <x v="0"/>
    <x v="1"/>
  </r>
  <r>
    <x v="205"/>
    <x v="188"/>
    <s v="10225-91535-AI"/>
    <s v="A-L-1"/>
    <n v="6"/>
    <x v="205"/>
    <s v="lrushmer65@europa.eu"/>
    <x v="0"/>
    <s v="Ara"/>
    <s v="L"/>
    <n v="1"/>
    <n v="12.95"/>
    <n v="77.699999999999989"/>
    <x v="2"/>
    <x v="1"/>
    <x v="0"/>
  </r>
  <r>
    <x v="206"/>
    <x v="189"/>
    <s v="48090-06534-HI"/>
    <s v="L-D-0.5"/>
    <n v="3"/>
    <x v="206"/>
    <s v="wedinborough66@github.io"/>
    <x v="0"/>
    <s v="Lib"/>
    <s v="D"/>
    <n v="0.5"/>
    <n v="7.77"/>
    <n v="23.31"/>
    <x v="3"/>
    <x v="2"/>
    <x v="1"/>
  </r>
  <r>
    <x v="207"/>
    <x v="190"/>
    <s v="80444-58185-FX"/>
    <s v="E-L-1"/>
    <n v="4"/>
    <x v="207"/>
    <s v=""/>
    <x v="0"/>
    <s v="Exc"/>
    <s v="L"/>
    <n v="1"/>
    <n v="14.85"/>
    <n v="59.4"/>
    <x v="1"/>
    <x v="1"/>
    <x v="0"/>
  </r>
  <r>
    <x v="208"/>
    <x v="191"/>
    <s v="13561-92774-WP"/>
    <s v="L-D-2.5"/>
    <n v="4"/>
    <x v="208"/>
    <s v="kbromehead68@un.org"/>
    <x v="0"/>
    <s v="Lib"/>
    <s v="D"/>
    <n v="2.5"/>
    <n v="29.784999999999997"/>
    <n v="119.13999999999999"/>
    <x v="3"/>
    <x v="2"/>
    <x v="0"/>
  </r>
  <r>
    <x v="209"/>
    <x v="192"/>
    <s v="11550-78378-GE"/>
    <s v="R-L-0.2"/>
    <n v="4"/>
    <x v="209"/>
    <s v="ewesterman69@si.edu"/>
    <x v="1"/>
    <s v="Rob"/>
    <s v="L"/>
    <n v="0.2"/>
    <n v="3.5849999999999995"/>
    <n v="14.339999999999998"/>
    <x v="0"/>
    <x v="1"/>
    <x v="1"/>
  </r>
  <r>
    <x v="210"/>
    <x v="193"/>
    <s v="90961-35603-RP"/>
    <s v="A-M-2.5"/>
    <n v="5"/>
    <x v="210"/>
    <s v="ahutchens6a@amazonaws.com"/>
    <x v="0"/>
    <s v="Ara"/>
    <s v="M"/>
    <n v="2.5"/>
    <n v="25.874999999999996"/>
    <n v="129.37499999999997"/>
    <x v="2"/>
    <x v="0"/>
    <x v="1"/>
  </r>
  <r>
    <x v="211"/>
    <x v="194"/>
    <s v="57145-03803-ZL"/>
    <s v="R-D-0.2"/>
    <n v="6"/>
    <x v="211"/>
    <s v="nwyvill6b@naver.com"/>
    <x v="2"/>
    <s v="Rob"/>
    <s v="D"/>
    <n v="0.2"/>
    <n v="2.6849999999999996"/>
    <n v="16.11"/>
    <x v="0"/>
    <x v="2"/>
    <x v="0"/>
  </r>
  <r>
    <x v="212"/>
    <x v="195"/>
    <s v="89115-11966-VF"/>
    <s v="R-L-0.2"/>
    <n v="5"/>
    <x v="212"/>
    <s v="bmathon6c@barnesandnoble.com"/>
    <x v="0"/>
    <s v="Rob"/>
    <s v="L"/>
    <n v="0.2"/>
    <n v="3.5849999999999995"/>
    <n v="17.924999999999997"/>
    <x v="0"/>
    <x v="1"/>
    <x v="1"/>
  </r>
  <r>
    <x v="213"/>
    <x v="196"/>
    <s v="05754-41702-FG"/>
    <s v="L-M-0.2"/>
    <n v="2"/>
    <x v="213"/>
    <s v="kstreight6d@about.com"/>
    <x v="0"/>
    <s v="Lib"/>
    <s v="M"/>
    <n v="0.2"/>
    <n v="4.3650000000000002"/>
    <n v="8.73"/>
    <x v="3"/>
    <x v="0"/>
    <x v="1"/>
  </r>
  <r>
    <x v="214"/>
    <x v="197"/>
    <s v="84269-49816-ML"/>
    <s v="A-M-2.5"/>
    <n v="2"/>
    <x v="214"/>
    <s v="pcutchie6e@globo.com"/>
    <x v="0"/>
    <s v="Ara"/>
    <s v="M"/>
    <n v="2.5"/>
    <n v="25.874999999999996"/>
    <n v="51.749999999999993"/>
    <x v="2"/>
    <x v="0"/>
    <x v="1"/>
  </r>
  <r>
    <x v="215"/>
    <x v="198"/>
    <s v="23600-98432-ME"/>
    <s v="L-M-0.2"/>
    <n v="2"/>
    <x v="215"/>
    <s v=""/>
    <x v="0"/>
    <s v="Lib"/>
    <s v="M"/>
    <n v="0.2"/>
    <n v="4.3650000000000002"/>
    <n v="8.73"/>
    <x v="3"/>
    <x v="0"/>
    <x v="0"/>
  </r>
  <r>
    <x v="216"/>
    <x v="199"/>
    <s v="79058-02767-CP"/>
    <s v="L-L-0.2"/>
    <n v="5"/>
    <x v="216"/>
    <s v="cgheraldi6g@opera.com"/>
    <x v="2"/>
    <s v="Lib"/>
    <s v="L"/>
    <n v="0.2"/>
    <n v="4.7549999999999999"/>
    <n v="23.774999999999999"/>
    <x v="3"/>
    <x v="1"/>
    <x v="1"/>
  </r>
  <r>
    <x v="217"/>
    <x v="200"/>
    <s v="89208-74646-UK"/>
    <s v="E-M-0.2"/>
    <n v="5"/>
    <x v="217"/>
    <s v="bkenwell6h@over-blog.com"/>
    <x v="0"/>
    <s v="Exc"/>
    <s v="M"/>
    <n v="0.2"/>
    <n v="4.125"/>
    <n v="20.625"/>
    <x v="1"/>
    <x v="0"/>
    <x v="1"/>
  </r>
  <r>
    <x v="218"/>
    <x v="201"/>
    <s v="11408-81032-UR"/>
    <s v="L-L-2.5"/>
    <n v="1"/>
    <x v="218"/>
    <s v="tsutty6i@google.es"/>
    <x v="0"/>
    <s v="Lib"/>
    <s v="L"/>
    <n v="2.5"/>
    <n v="36.454999999999998"/>
    <n v="36.454999999999998"/>
    <x v="3"/>
    <x v="1"/>
    <x v="1"/>
  </r>
  <r>
    <x v="219"/>
    <x v="202"/>
    <s v="32070-55528-UG"/>
    <s v="L-L-2.5"/>
    <n v="5"/>
    <x v="219"/>
    <s v=""/>
    <x v="1"/>
    <s v="Lib"/>
    <s v="L"/>
    <n v="2.5"/>
    <n v="36.454999999999998"/>
    <n v="182.27499999999998"/>
    <x v="3"/>
    <x v="1"/>
    <x v="1"/>
  </r>
  <r>
    <x v="220"/>
    <x v="203"/>
    <s v="48873-84433-PN"/>
    <s v="L-D-2.5"/>
    <n v="3"/>
    <x v="220"/>
    <s v="charce6k@cafepress.com"/>
    <x v="1"/>
    <s v="Lib"/>
    <s v="D"/>
    <n v="2.5"/>
    <n v="29.784999999999997"/>
    <n v="89.35499999999999"/>
    <x v="3"/>
    <x v="2"/>
    <x v="1"/>
  </r>
  <r>
    <x v="221"/>
    <x v="204"/>
    <s v="32928-18158-OW"/>
    <s v="R-L-0.2"/>
    <n v="1"/>
    <x v="221"/>
    <s v=""/>
    <x v="0"/>
    <s v="Rob"/>
    <s v="L"/>
    <n v="0.2"/>
    <n v="3.5849999999999995"/>
    <n v="3.5849999999999995"/>
    <x v="0"/>
    <x v="1"/>
    <x v="0"/>
  </r>
  <r>
    <x v="222"/>
    <x v="205"/>
    <s v="89711-56688-GG"/>
    <s v="R-M-2.5"/>
    <n v="2"/>
    <x v="222"/>
    <s v="fdrysdale6m@symantec.com"/>
    <x v="0"/>
    <s v="Rob"/>
    <s v="M"/>
    <n v="2.5"/>
    <n v="22.884999999999998"/>
    <n v="45.769999999999996"/>
    <x v="0"/>
    <x v="0"/>
    <x v="0"/>
  </r>
  <r>
    <x v="223"/>
    <x v="206"/>
    <s v="48389-71976-JB"/>
    <s v="E-L-1"/>
    <n v="4"/>
    <x v="223"/>
    <s v="dmagowan6n@fc2.com"/>
    <x v="0"/>
    <s v="Exc"/>
    <s v="L"/>
    <n v="1"/>
    <n v="14.85"/>
    <n v="59.4"/>
    <x v="1"/>
    <x v="1"/>
    <x v="1"/>
  </r>
  <r>
    <x v="224"/>
    <x v="207"/>
    <s v="84033-80762-EQ"/>
    <s v="A-M-2.5"/>
    <n v="6"/>
    <x v="224"/>
    <s v=""/>
    <x v="0"/>
    <s v="Ara"/>
    <s v="M"/>
    <n v="2.5"/>
    <n v="25.874999999999996"/>
    <n v="155.24999999999997"/>
    <x v="2"/>
    <x v="0"/>
    <x v="0"/>
  </r>
  <r>
    <x v="225"/>
    <x v="208"/>
    <s v="12743-00952-KO"/>
    <s v="R-M-2.5"/>
    <n v="2"/>
    <x v="225"/>
    <s v=""/>
    <x v="0"/>
    <s v="Rob"/>
    <s v="M"/>
    <n v="2.5"/>
    <n v="22.884999999999998"/>
    <n v="45.769999999999996"/>
    <x v="0"/>
    <x v="0"/>
    <x v="1"/>
  </r>
  <r>
    <x v="226"/>
    <x v="209"/>
    <s v="41505-42181-EF"/>
    <s v="E-D-1"/>
    <n v="3"/>
    <x v="226"/>
    <s v="srushbrooke6q@youku.com"/>
    <x v="0"/>
    <s v="Exc"/>
    <s v="D"/>
    <n v="1"/>
    <n v="12.15"/>
    <n v="36.450000000000003"/>
    <x v="1"/>
    <x v="2"/>
    <x v="0"/>
  </r>
  <r>
    <x v="227"/>
    <x v="210"/>
    <s v="14307-87663-KB"/>
    <s v="E-D-0.5"/>
    <n v="4"/>
    <x v="227"/>
    <s v="tdrynan6r@deviantart.com"/>
    <x v="0"/>
    <s v="Exc"/>
    <s v="D"/>
    <n v="0.5"/>
    <n v="7.29"/>
    <n v="29.16"/>
    <x v="1"/>
    <x v="2"/>
    <x v="0"/>
  </r>
  <r>
    <x v="228"/>
    <x v="211"/>
    <s v="08360-19442-GB"/>
    <s v="L-M-2.5"/>
    <n v="4"/>
    <x v="228"/>
    <s v="eyurkov6s@hud.gov"/>
    <x v="0"/>
    <s v="Lib"/>
    <s v="M"/>
    <n v="2.5"/>
    <n v="33.464999999999996"/>
    <n v="133.85999999999999"/>
    <x v="3"/>
    <x v="0"/>
    <x v="1"/>
  </r>
  <r>
    <x v="229"/>
    <x v="212"/>
    <s v="93405-51204-UW"/>
    <s v="L-L-0.2"/>
    <n v="5"/>
    <x v="229"/>
    <s v="lmallan6t@state.gov"/>
    <x v="0"/>
    <s v="Lib"/>
    <s v="L"/>
    <n v="0.2"/>
    <n v="4.7549999999999999"/>
    <n v="23.774999999999999"/>
    <x v="3"/>
    <x v="1"/>
    <x v="0"/>
  </r>
  <r>
    <x v="230"/>
    <x v="213"/>
    <s v="97152-03355-IW"/>
    <s v="L-D-1"/>
    <n v="3"/>
    <x v="230"/>
    <s v="gbentjens6u@netlog.com"/>
    <x v="2"/>
    <s v="Lib"/>
    <s v="D"/>
    <n v="1"/>
    <n v="12.95"/>
    <n v="38.849999999999994"/>
    <x v="3"/>
    <x v="2"/>
    <x v="1"/>
  </r>
  <r>
    <x v="231"/>
    <x v="63"/>
    <s v="79216-73157-TE"/>
    <s v="R-L-0.2"/>
    <n v="6"/>
    <x v="231"/>
    <s v=""/>
    <x v="1"/>
    <s v="Rob"/>
    <s v="L"/>
    <n v="0.2"/>
    <n v="3.5849999999999995"/>
    <n v="21.509999999999998"/>
    <x v="0"/>
    <x v="1"/>
    <x v="0"/>
  </r>
  <r>
    <x v="232"/>
    <x v="214"/>
    <s v="20259-47723-AC"/>
    <s v="A-D-1"/>
    <n v="1"/>
    <x v="232"/>
    <s v="lentwistle6w@omniture.com"/>
    <x v="0"/>
    <s v="Ara"/>
    <s v="D"/>
    <n v="1"/>
    <n v="9.9499999999999993"/>
    <n v="9.9499999999999993"/>
    <x v="2"/>
    <x v="2"/>
    <x v="0"/>
  </r>
  <r>
    <x v="233"/>
    <x v="215"/>
    <s v="04666-71569-RI"/>
    <s v="L-L-1"/>
    <n v="1"/>
    <x v="233"/>
    <s v="zkiffe74@cyberchimps.com"/>
    <x v="0"/>
    <s v="Lib"/>
    <s v="L"/>
    <n v="1"/>
    <n v="15.85"/>
    <n v="15.85"/>
    <x v="3"/>
    <x v="1"/>
    <x v="0"/>
  </r>
  <r>
    <x v="234"/>
    <x v="216"/>
    <s v="08909-77713-CG"/>
    <s v="R-M-0.2"/>
    <n v="1"/>
    <x v="234"/>
    <s v="macott6y@pagesperso-orange.fr"/>
    <x v="0"/>
    <s v="Rob"/>
    <s v="M"/>
    <n v="0.2"/>
    <n v="2.9849999999999999"/>
    <n v="2.9849999999999999"/>
    <x v="0"/>
    <x v="0"/>
    <x v="0"/>
  </r>
  <r>
    <x v="235"/>
    <x v="217"/>
    <s v="84340-73931-VV"/>
    <s v="E-M-1"/>
    <n v="5"/>
    <x v="235"/>
    <s v="cheaviside6z@rediff.com"/>
    <x v="0"/>
    <s v="Exc"/>
    <s v="M"/>
    <n v="1"/>
    <n v="13.75"/>
    <n v="68.75"/>
    <x v="1"/>
    <x v="0"/>
    <x v="0"/>
  </r>
  <r>
    <x v="236"/>
    <x v="218"/>
    <s v="04609-95151-XH"/>
    <s v="A-D-1"/>
    <n v="3"/>
    <x v="236"/>
    <s v=""/>
    <x v="0"/>
    <s v="Ara"/>
    <s v="D"/>
    <n v="1"/>
    <n v="9.9499999999999993"/>
    <n v="29.849999999999998"/>
    <x v="2"/>
    <x v="2"/>
    <x v="1"/>
  </r>
  <r>
    <x v="237"/>
    <x v="219"/>
    <s v="99562-88650-YF"/>
    <s v="L-M-1"/>
    <n v="4"/>
    <x v="237"/>
    <s v="lkernan71@wsj.com"/>
    <x v="0"/>
    <s v="Lib"/>
    <s v="M"/>
    <n v="1"/>
    <n v="14.55"/>
    <n v="58.2"/>
    <x v="3"/>
    <x v="0"/>
    <x v="1"/>
  </r>
  <r>
    <x v="238"/>
    <x v="220"/>
    <s v="46560-73885-PJ"/>
    <s v="R-L-0.5"/>
    <n v="4"/>
    <x v="238"/>
    <s v="rmclae72@dailymotion.com"/>
    <x v="2"/>
    <s v="Rob"/>
    <s v="L"/>
    <n v="0.5"/>
    <n v="7.169999999999999"/>
    <n v="28.679999999999996"/>
    <x v="0"/>
    <x v="1"/>
    <x v="1"/>
  </r>
  <r>
    <x v="239"/>
    <x v="114"/>
    <s v="80179-44620-WN"/>
    <s v="R-L-0.5"/>
    <n v="3"/>
    <x v="239"/>
    <s v="cblowfelde73@ustream.tv"/>
    <x v="0"/>
    <s v="Rob"/>
    <s v="L"/>
    <n v="0.5"/>
    <n v="7.169999999999999"/>
    <n v="21.509999999999998"/>
    <x v="0"/>
    <x v="1"/>
    <x v="1"/>
  </r>
  <r>
    <x v="240"/>
    <x v="221"/>
    <s v="04666-71569-RI"/>
    <s v="L-M-0.5"/>
    <n v="2"/>
    <x v="233"/>
    <s v="zkiffe74@cyberchimps.com"/>
    <x v="0"/>
    <s v="Lib"/>
    <s v="M"/>
    <n v="0.5"/>
    <n v="8.73"/>
    <n v="17.46"/>
    <x v="3"/>
    <x v="0"/>
    <x v="0"/>
  </r>
  <r>
    <x v="241"/>
    <x v="222"/>
    <s v="59081-87231-VP"/>
    <s v="E-D-2.5"/>
    <n v="1"/>
    <x v="240"/>
    <s v="docalleran75@ucla.edu"/>
    <x v="0"/>
    <s v="Exc"/>
    <s v="D"/>
    <n v="2.5"/>
    <n v="27.945"/>
    <n v="27.945"/>
    <x v="1"/>
    <x v="2"/>
    <x v="0"/>
  </r>
  <r>
    <x v="242"/>
    <x v="188"/>
    <s v="07878-45872-CC"/>
    <s v="E-D-2.5"/>
    <n v="5"/>
    <x v="241"/>
    <s v="ccromwell76@desdev.cn"/>
    <x v="0"/>
    <s v="Exc"/>
    <s v="D"/>
    <n v="2.5"/>
    <n v="27.945"/>
    <n v="139.72499999999999"/>
    <x v="1"/>
    <x v="2"/>
    <x v="1"/>
  </r>
  <r>
    <x v="243"/>
    <x v="223"/>
    <s v="12444-05174-OO"/>
    <s v="R-M-0.2"/>
    <n v="2"/>
    <x v="242"/>
    <s v="ihay77@lulu.com"/>
    <x v="2"/>
    <s v="Rob"/>
    <s v="M"/>
    <n v="0.2"/>
    <n v="2.9849999999999999"/>
    <n v="5.97"/>
    <x v="0"/>
    <x v="0"/>
    <x v="1"/>
  </r>
  <r>
    <x v="244"/>
    <x v="224"/>
    <s v="34665-62561-AU"/>
    <s v="R-L-2.5"/>
    <n v="1"/>
    <x v="243"/>
    <s v="ttaffarello78@sciencedaily.com"/>
    <x v="0"/>
    <s v="Rob"/>
    <s v="L"/>
    <n v="2.5"/>
    <n v="27.484999999999996"/>
    <n v="27.484999999999996"/>
    <x v="0"/>
    <x v="1"/>
    <x v="0"/>
  </r>
  <r>
    <x v="245"/>
    <x v="83"/>
    <s v="77877-11993-QH"/>
    <s v="R-L-1"/>
    <n v="5"/>
    <x v="244"/>
    <s v="mcanty79@jigsy.com"/>
    <x v="0"/>
    <s v="Rob"/>
    <s v="L"/>
    <n v="1"/>
    <n v="11.95"/>
    <n v="59.75"/>
    <x v="0"/>
    <x v="1"/>
    <x v="0"/>
  </r>
  <r>
    <x v="246"/>
    <x v="104"/>
    <s v="32291-18308-YZ"/>
    <s v="E-M-1"/>
    <n v="3"/>
    <x v="245"/>
    <s v="jkopke7a@auda.org.au"/>
    <x v="0"/>
    <s v="Exc"/>
    <s v="M"/>
    <n v="1"/>
    <n v="13.75"/>
    <n v="41.25"/>
    <x v="1"/>
    <x v="0"/>
    <x v="1"/>
  </r>
  <r>
    <x v="247"/>
    <x v="225"/>
    <s v="25754-33191-ZI"/>
    <s v="L-M-2.5"/>
    <n v="4"/>
    <x v="246"/>
    <s v=""/>
    <x v="0"/>
    <s v="Lib"/>
    <s v="M"/>
    <n v="2.5"/>
    <n v="33.464999999999996"/>
    <n v="133.85999999999999"/>
    <x v="3"/>
    <x v="0"/>
    <x v="1"/>
  </r>
  <r>
    <x v="248"/>
    <x v="226"/>
    <s v="53120-45532-KL"/>
    <s v="R-L-1"/>
    <n v="5"/>
    <x v="247"/>
    <s v=""/>
    <x v="1"/>
    <s v="Rob"/>
    <s v="L"/>
    <n v="1"/>
    <n v="11.95"/>
    <n v="59.75"/>
    <x v="0"/>
    <x v="1"/>
    <x v="0"/>
  </r>
  <r>
    <x v="249"/>
    <x v="227"/>
    <s v="36605-83052-WB"/>
    <s v="A-D-0.5"/>
    <n v="1"/>
    <x v="248"/>
    <s v="vhellmore7d@bbc.co.uk"/>
    <x v="0"/>
    <s v="Ara"/>
    <s v="D"/>
    <n v="0.5"/>
    <n v="5.97"/>
    <n v="5.97"/>
    <x v="2"/>
    <x v="2"/>
    <x v="0"/>
  </r>
  <r>
    <x v="250"/>
    <x v="180"/>
    <s v="53683-35977-KI"/>
    <s v="E-D-1"/>
    <n v="2"/>
    <x v="249"/>
    <s v="mseawright7e@nbcnews.com"/>
    <x v="2"/>
    <s v="Exc"/>
    <s v="D"/>
    <n v="1"/>
    <n v="12.15"/>
    <n v="24.3"/>
    <x v="1"/>
    <x v="2"/>
    <x v="1"/>
  </r>
  <r>
    <x v="251"/>
    <x v="228"/>
    <s v="07972-83134-NM"/>
    <s v="E-D-0.2"/>
    <n v="6"/>
    <x v="250"/>
    <s v="snortheast7f@mashable.com"/>
    <x v="0"/>
    <s v="Exc"/>
    <s v="D"/>
    <n v="0.2"/>
    <n v="3.645"/>
    <n v="21.87"/>
    <x v="1"/>
    <x v="2"/>
    <x v="0"/>
  </r>
  <r>
    <x v="252"/>
    <x v="229"/>
    <s v="01035-70465-UO"/>
    <s v="A-D-1"/>
    <n v="2"/>
    <x v="195"/>
    <s v="aattwater5u@wikia.com"/>
    <x v="0"/>
    <s v="Ara"/>
    <s v="D"/>
    <n v="1"/>
    <n v="9.9499999999999993"/>
    <n v="19.899999999999999"/>
    <x v="2"/>
    <x v="2"/>
    <x v="0"/>
  </r>
  <r>
    <x v="253"/>
    <x v="230"/>
    <s v="25514-23938-IQ"/>
    <s v="A-D-0.2"/>
    <n v="2"/>
    <x v="251"/>
    <s v="mfearon7h@reverbnation.com"/>
    <x v="0"/>
    <s v="Ara"/>
    <s v="D"/>
    <n v="0.2"/>
    <n v="2.9849999999999999"/>
    <n v="5.97"/>
    <x v="2"/>
    <x v="2"/>
    <x v="1"/>
  </r>
  <r>
    <x v="254"/>
    <x v="231"/>
    <s v="49084-44492-OJ"/>
    <s v="E-D-0.5"/>
    <n v="1"/>
    <x v="252"/>
    <s v=""/>
    <x v="1"/>
    <s v="Exc"/>
    <s v="D"/>
    <n v="0.5"/>
    <n v="7.29"/>
    <n v="7.29"/>
    <x v="1"/>
    <x v="2"/>
    <x v="0"/>
  </r>
  <r>
    <x v="255"/>
    <x v="80"/>
    <s v="76624-72205-CK"/>
    <s v="A-D-0.2"/>
    <n v="4"/>
    <x v="253"/>
    <s v="jsisneros7j@a8.net"/>
    <x v="0"/>
    <s v="Ara"/>
    <s v="D"/>
    <n v="0.2"/>
    <n v="2.9849999999999999"/>
    <n v="11.94"/>
    <x v="2"/>
    <x v="2"/>
    <x v="0"/>
  </r>
  <r>
    <x v="256"/>
    <x v="232"/>
    <s v="12729-50170-JE"/>
    <s v="R-L-1"/>
    <n v="6"/>
    <x v="254"/>
    <s v="zcarlson7k@bigcartel.com"/>
    <x v="1"/>
    <s v="Rob"/>
    <s v="L"/>
    <n v="1"/>
    <n v="11.95"/>
    <n v="71.699999999999989"/>
    <x v="0"/>
    <x v="1"/>
    <x v="0"/>
  </r>
  <r>
    <x v="257"/>
    <x v="233"/>
    <s v="43974-44760-QI"/>
    <s v="A-L-0.2"/>
    <n v="2"/>
    <x v="255"/>
    <s v="wmaddox7l@timesonline.co.uk"/>
    <x v="0"/>
    <s v="Ara"/>
    <s v="L"/>
    <n v="0.2"/>
    <n v="3.8849999999999998"/>
    <n v="7.77"/>
    <x v="2"/>
    <x v="1"/>
    <x v="1"/>
  </r>
  <r>
    <x v="258"/>
    <x v="234"/>
    <s v="30585-48726-BK"/>
    <s v="A-M-2.5"/>
    <n v="1"/>
    <x v="256"/>
    <s v="dhedlestone7m@craigslist.org"/>
    <x v="0"/>
    <s v="Ara"/>
    <s v="M"/>
    <n v="2.5"/>
    <n v="25.874999999999996"/>
    <n v="25.874999999999996"/>
    <x v="2"/>
    <x v="0"/>
    <x v="1"/>
  </r>
  <r>
    <x v="259"/>
    <x v="235"/>
    <s v="16123-07017-TY"/>
    <s v="E-L-2.5"/>
    <n v="6"/>
    <x v="257"/>
    <s v="tcrowthe7n@europa.eu"/>
    <x v="0"/>
    <s v="Exc"/>
    <s v="L"/>
    <n v="2.5"/>
    <n v="34.154999999999994"/>
    <n v="204.92999999999995"/>
    <x v="1"/>
    <x v="1"/>
    <x v="1"/>
  </r>
  <r>
    <x v="260"/>
    <x v="236"/>
    <s v="27723-45097-MH"/>
    <s v="R-L-2.5"/>
    <n v="4"/>
    <x v="258"/>
    <s v="dbury7o@tinyurl.com"/>
    <x v="1"/>
    <s v="Rob"/>
    <s v="L"/>
    <n v="2.5"/>
    <n v="27.484999999999996"/>
    <n v="109.93999999999998"/>
    <x v="0"/>
    <x v="1"/>
    <x v="0"/>
  </r>
  <r>
    <x v="261"/>
    <x v="237"/>
    <s v="37078-56703-AF"/>
    <s v="E-L-1"/>
    <n v="6"/>
    <x v="259"/>
    <s v="gbroadbear7p@omniture.com"/>
    <x v="0"/>
    <s v="Exc"/>
    <s v="L"/>
    <n v="1"/>
    <n v="14.85"/>
    <n v="89.1"/>
    <x v="1"/>
    <x v="1"/>
    <x v="1"/>
  </r>
  <r>
    <x v="262"/>
    <x v="238"/>
    <s v="79420-11075-MY"/>
    <s v="A-L-0.2"/>
    <n v="2"/>
    <x v="260"/>
    <s v="epalfrey7q@devhub.com"/>
    <x v="0"/>
    <s v="Ara"/>
    <s v="L"/>
    <n v="0.2"/>
    <n v="3.8849999999999998"/>
    <n v="7.77"/>
    <x v="2"/>
    <x v="1"/>
    <x v="0"/>
  </r>
  <r>
    <x v="263"/>
    <x v="52"/>
    <s v="57504-13456-UO"/>
    <s v="L-M-2.5"/>
    <n v="1"/>
    <x v="261"/>
    <s v="pmetrick7r@rakuten.co.jp"/>
    <x v="0"/>
    <s v="Lib"/>
    <s v="M"/>
    <n v="2.5"/>
    <n v="33.464999999999996"/>
    <n v="33.464999999999996"/>
    <x v="3"/>
    <x v="0"/>
    <x v="0"/>
  </r>
  <r>
    <x v="264"/>
    <x v="146"/>
    <s v="53751-57560-CN"/>
    <s v="E-M-0.5"/>
    <n v="5"/>
    <x v="262"/>
    <s v=""/>
    <x v="0"/>
    <s v="Exc"/>
    <s v="M"/>
    <n v="0.5"/>
    <n v="8.25"/>
    <n v="41.25"/>
    <x v="1"/>
    <x v="0"/>
    <x v="0"/>
  </r>
  <r>
    <x v="265"/>
    <x v="239"/>
    <s v="96112-42558-EA"/>
    <s v="E-L-1"/>
    <n v="4"/>
    <x v="263"/>
    <s v="kkarby7t@sbwire.com"/>
    <x v="0"/>
    <s v="Exc"/>
    <s v="L"/>
    <n v="1"/>
    <n v="14.85"/>
    <n v="59.4"/>
    <x v="1"/>
    <x v="1"/>
    <x v="0"/>
  </r>
  <r>
    <x v="266"/>
    <x v="240"/>
    <s v="03157-23165-UB"/>
    <s v="A-L-0.5"/>
    <n v="1"/>
    <x v="264"/>
    <s v="fcrumpe7u@ftc.gov"/>
    <x v="2"/>
    <s v="Ara"/>
    <s v="L"/>
    <n v="0.5"/>
    <n v="7.77"/>
    <n v="7.77"/>
    <x v="2"/>
    <x v="1"/>
    <x v="1"/>
  </r>
  <r>
    <x v="267"/>
    <x v="241"/>
    <s v="51466-52850-AG"/>
    <s v="R-D-0.5"/>
    <n v="1"/>
    <x v="265"/>
    <s v="achatto7v@sakura.ne.jp"/>
    <x v="2"/>
    <s v="Rob"/>
    <s v="D"/>
    <n v="0.5"/>
    <n v="5.3699999999999992"/>
    <n v="5.3699999999999992"/>
    <x v="0"/>
    <x v="2"/>
    <x v="0"/>
  </r>
  <r>
    <x v="268"/>
    <x v="242"/>
    <s v="57145-31023-FK"/>
    <s v="E-M-2.5"/>
    <n v="3"/>
    <x v="266"/>
    <s v=""/>
    <x v="0"/>
    <s v="Exc"/>
    <s v="M"/>
    <n v="2.5"/>
    <n v="31.624999999999996"/>
    <n v="94.874999999999986"/>
    <x v="1"/>
    <x v="0"/>
    <x v="1"/>
  </r>
  <r>
    <x v="269"/>
    <x v="243"/>
    <s v="66408-53777-VE"/>
    <s v="L-L-2.5"/>
    <n v="1"/>
    <x v="267"/>
    <s v=""/>
    <x v="0"/>
    <s v="Lib"/>
    <s v="L"/>
    <n v="2.5"/>
    <n v="36.454999999999998"/>
    <n v="36.454999999999998"/>
    <x v="3"/>
    <x v="1"/>
    <x v="1"/>
  </r>
  <r>
    <x v="270"/>
    <x v="244"/>
    <s v="53035-99701-WG"/>
    <s v="A-M-0.2"/>
    <n v="4"/>
    <x v="268"/>
    <s v="bmergue7y@umn.edu"/>
    <x v="0"/>
    <s v="Ara"/>
    <s v="M"/>
    <n v="0.2"/>
    <n v="3.375"/>
    <n v="13.5"/>
    <x v="2"/>
    <x v="0"/>
    <x v="0"/>
  </r>
  <r>
    <x v="271"/>
    <x v="245"/>
    <s v="45899-92796-EI"/>
    <s v="R-L-0.2"/>
    <n v="4"/>
    <x v="269"/>
    <s v="kpatise7z@jigsy.com"/>
    <x v="0"/>
    <s v="Rob"/>
    <s v="L"/>
    <n v="0.2"/>
    <n v="3.5849999999999995"/>
    <n v="14.339999999999998"/>
    <x v="0"/>
    <x v="1"/>
    <x v="1"/>
  </r>
  <r>
    <x v="272"/>
    <x v="246"/>
    <s v="17649-28133-PY"/>
    <s v="E-M-0.5"/>
    <n v="1"/>
    <x v="270"/>
    <s v=""/>
    <x v="1"/>
    <s v="Exc"/>
    <s v="M"/>
    <n v="0.5"/>
    <n v="8.25"/>
    <n v="8.25"/>
    <x v="1"/>
    <x v="0"/>
    <x v="0"/>
  </r>
  <r>
    <x v="273"/>
    <x v="247"/>
    <s v="49612-33852-CN"/>
    <s v="R-D-0.2"/>
    <n v="5"/>
    <x v="271"/>
    <s v=""/>
    <x v="0"/>
    <s v="Rob"/>
    <s v="D"/>
    <n v="0.2"/>
    <n v="2.6849999999999996"/>
    <n v="13.424999999999997"/>
    <x v="0"/>
    <x v="2"/>
    <x v="0"/>
  </r>
  <r>
    <x v="274"/>
    <x v="248"/>
    <s v="66976-43829-YG"/>
    <s v="A-D-1"/>
    <n v="5"/>
    <x v="272"/>
    <s v="dduke82@vkontakte.ru"/>
    <x v="0"/>
    <s v="Ara"/>
    <s v="D"/>
    <n v="1"/>
    <n v="9.9499999999999993"/>
    <n v="49.75"/>
    <x v="2"/>
    <x v="2"/>
    <x v="1"/>
  </r>
  <r>
    <x v="275"/>
    <x v="249"/>
    <s v="64852-04619-XZ"/>
    <s v="E-M-0.5"/>
    <n v="2"/>
    <x v="273"/>
    <s v=""/>
    <x v="1"/>
    <s v="Exc"/>
    <s v="M"/>
    <n v="0.5"/>
    <n v="8.25"/>
    <n v="16.5"/>
    <x v="1"/>
    <x v="0"/>
    <x v="1"/>
  </r>
  <r>
    <x v="276"/>
    <x v="250"/>
    <s v="58690-31815-VY"/>
    <s v="A-D-0.5"/>
    <n v="3"/>
    <x v="274"/>
    <s v="ihussey84@mapy.cz"/>
    <x v="0"/>
    <s v="Ara"/>
    <s v="D"/>
    <n v="0.5"/>
    <n v="5.97"/>
    <n v="17.91"/>
    <x v="2"/>
    <x v="2"/>
    <x v="1"/>
  </r>
  <r>
    <x v="277"/>
    <x v="251"/>
    <s v="62863-81239-DT"/>
    <s v="A-D-0.5"/>
    <n v="5"/>
    <x v="275"/>
    <s v="cpinkerton85@upenn.edu"/>
    <x v="0"/>
    <s v="Ara"/>
    <s v="D"/>
    <n v="0.5"/>
    <n v="5.97"/>
    <n v="29.849999999999998"/>
    <x v="2"/>
    <x v="2"/>
    <x v="1"/>
  </r>
  <r>
    <x v="278"/>
    <x v="177"/>
    <s v="21177-40725-CF"/>
    <s v="E-L-1"/>
    <n v="3"/>
    <x v="276"/>
    <s v=""/>
    <x v="0"/>
    <s v="Exc"/>
    <s v="L"/>
    <n v="1"/>
    <n v="14.85"/>
    <n v="44.55"/>
    <x v="1"/>
    <x v="1"/>
    <x v="1"/>
  </r>
  <r>
    <x v="279"/>
    <x v="252"/>
    <s v="99421-80253-UI"/>
    <s v="E-M-1"/>
    <n v="2"/>
    <x v="277"/>
    <s v=""/>
    <x v="0"/>
    <s v="Exc"/>
    <s v="M"/>
    <n v="1"/>
    <n v="13.75"/>
    <n v="27.5"/>
    <x v="1"/>
    <x v="0"/>
    <x v="1"/>
  </r>
  <r>
    <x v="280"/>
    <x v="253"/>
    <s v="45315-50206-DK"/>
    <s v="R-M-0.5"/>
    <n v="6"/>
    <x v="278"/>
    <s v="dvizor88@furl.net"/>
    <x v="0"/>
    <s v="Rob"/>
    <s v="M"/>
    <n v="0.5"/>
    <n v="5.97"/>
    <n v="35.82"/>
    <x v="0"/>
    <x v="0"/>
    <x v="0"/>
  </r>
  <r>
    <x v="281"/>
    <x v="254"/>
    <s v="09595-95726-OV"/>
    <s v="R-D-0.5"/>
    <n v="3"/>
    <x v="279"/>
    <s v="esedgebeer89@oaic.gov.au"/>
    <x v="0"/>
    <s v="Rob"/>
    <s v="D"/>
    <n v="0.5"/>
    <n v="5.3699999999999992"/>
    <n v="16.11"/>
    <x v="0"/>
    <x v="2"/>
    <x v="0"/>
  </r>
  <r>
    <x v="282"/>
    <x v="227"/>
    <s v="60221-67036-TD"/>
    <s v="E-L-0.2"/>
    <n v="6"/>
    <x v="280"/>
    <s v="klestrange8a@lulu.com"/>
    <x v="0"/>
    <s v="Exc"/>
    <s v="L"/>
    <n v="0.2"/>
    <n v="4.4550000000000001"/>
    <n v="26.73"/>
    <x v="1"/>
    <x v="1"/>
    <x v="0"/>
  </r>
  <r>
    <x v="283"/>
    <x v="110"/>
    <s v="62923-29397-KX"/>
    <s v="E-L-2.5"/>
    <n v="6"/>
    <x v="281"/>
    <s v="ltanti8b@techcrunch.com"/>
    <x v="0"/>
    <s v="Exc"/>
    <s v="L"/>
    <n v="2.5"/>
    <n v="34.154999999999994"/>
    <n v="204.92999999999995"/>
    <x v="1"/>
    <x v="1"/>
    <x v="0"/>
  </r>
  <r>
    <x v="284"/>
    <x v="182"/>
    <s v="33011-52383-BA"/>
    <s v="A-L-1"/>
    <n v="3"/>
    <x v="282"/>
    <s v="ade8c@1und1.de"/>
    <x v="0"/>
    <s v="Ara"/>
    <s v="L"/>
    <n v="1"/>
    <n v="12.95"/>
    <n v="38.849999999999994"/>
    <x v="2"/>
    <x v="1"/>
    <x v="0"/>
  </r>
  <r>
    <x v="285"/>
    <x v="255"/>
    <s v="86768-91598-FA"/>
    <s v="L-D-0.2"/>
    <n v="4"/>
    <x v="283"/>
    <s v="tjedrachowicz8d@acquirethisname.com"/>
    <x v="0"/>
    <s v="Lib"/>
    <s v="D"/>
    <n v="0.2"/>
    <n v="3.8849999999999998"/>
    <n v="15.54"/>
    <x v="3"/>
    <x v="2"/>
    <x v="0"/>
  </r>
  <r>
    <x v="286"/>
    <x v="256"/>
    <s v="37191-12203-MX"/>
    <s v="A-M-0.5"/>
    <n v="1"/>
    <x v="284"/>
    <s v="pstonner8e@moonfruit.com"/>
    <x v="0"/>
    <s v="Ara"/>
    <s v="M"/>
    <n v="0.5"/>
    <n v="6.75"/>
    <n v="6.75"/>
    <x v="2"/>
    <x v="0"/>
    <x v="1"/>
  </r>
  <r>
    <x v="287"/>
    <x v="3"/>
    <s v="16545-76328-JY"/>
    <s v="E-D-2.5"/>
    <n v="4"/>
    <x v="285"/>
    <s v="dtingly8f@goo.ne.jp"/>
    <x v="0"/>
    <s v="Exc"/>
    <s v="D"/>
    <n v="2.5"/>
    <n v="27.945"/>
    <n v="111.78"/>
    <x v="1"/>
    <x v="2"/>
    <x v="0"/>
  </r>
  <r>
    <x v="288"/>
    <x v="257"/>
    <s v="74330-29286-RO"/>
    <s v="A-L-0.2"/>
    <n v="1"/>
    <x v="286"/>
    <s v="crushe8n@about.me"/>
    <x v="0"/>
    <s v="Ara"/>
    <s v="L"/>
    <n v="0.2"/>
    <n v="3.8849999999999998"/>
    <n v="3.8849999999999998"/>
    <x v="2"/>
    <x v="1"/>
    <x v="0"/>
  </r>
  <r>
    <x v="289"/>
    <x v="258"/>
    <s v="22349-47389-GY"/>
    <s v="L-M-0.2"/>
    <n v="5"/>
    <x v="287"/>
    <s v="bchecci8h@usa.gov"/>
    <x v="2"/>
    <s v="Lib"/>
    <s v="M"/>
    <n v="0.2"/>
    <n v="4.3650000000000002"/>
    <n v="21.825000000000003"/>
    <x v="3"/>
    <x v="0"/>
    <x v="1"/>
  </r>
  <r>
    <x v="290"/>
    <x v="259"/>
    <s v="70290-38099-GB"/>
    <s v="R-M-0.2"/>
    <n v="5"/>
    <x v="288"/>
    <s v="jbagot8i@mac.com"/>
    <x v="0"/>
    <s v="Rob"/>
    <s v="M"/>
    <n v="0.2"/>
    <n v="2.9849999999999999"/>
    <n v="14.924999999999999"/>
    <x v="0"/>
    <x v="0"/>
    <x v="1"/>
  </r>
  <r>
    <x v="291"/>
    <x v="260"/>
    <s v="18741-72071-PP"/>
    <s v="A-M-1"/>
    <n v="3"/>
    <x v="289"/>
    <s v="ebeeble8j@soundcloud.com"/>
    <x v="0"/>
    <s v="Ara"/>
    <s v="M"/>
    <n v="1"/>
    <n v="11.25"/>
    <n v="33.75"/>
    <x v="2"/>
    <x v="0"/>
    <x v="0"/>
  </r>
  <r>
    <x v="292"/>
    <x v="261"/>
    <s v="62588-82624-II"/>
    <s v="A-M-1"/>
    <n v="3"/>
    <x v="290"/>
    <s v="cfluin8k@flickr.com"/>
    <x v="2"/>
    <s v="Ara"/>
    <s v="M"/>
    <n v="1"/>
    <n v="11.25"/>
    <n v="33.75"/>
    <x v="2"/>
    <x v="0"/>
    <x v="1"/>
  </r>
  <r>
    <x v="293"/>
    <x v="262"/>
    <s v="37430-29579-HD"/>
    <s v="L-M-0.2"/>
    <n v="6"/>
    <x v="291"/>
    <s v="ebletsor8l@vinaora.com"/>
    <x v="0"/>
    <s v="Lib"/>
    <s v="M"/>
    <n v="0.2"/>
    <n v="4.3650000000000002"/>
    <n v="26.19"/>
    <x v="3"/>
    <x v="0"/>
    <x v="0"/>
  </r>
  <r>
    <x v="294"/>
    <x v="263"/>
    <s v="84132-22322-QT"/>
    <s v="E-L-1"/>
    <n v="1"/>
    <x v="292"/>
    <s v="pbrydell8m@bloglovin.com"/>
    <x v="1"/>
    <s v="Exc"/>
    <s v="L"/>
    <n v="1"/>
    <n v="14.85"/>
    <n v="14.85"/>
    <x v="1"/>
    <x v="1"/>
    <x v="1"/>
  </r>
  <r>
    <x v="295"/>
    <x v="212"/>
    <s v="74330-29286-RO"/>
    <s v="E-M-2.5"/>
    <n v="6"/>
    <x v="286"/>
    <s v="crushe8n@about.me"/>
    <x v="0"/>
    <s v="Exc"/>
    <s v="M"/>
    <n v="2.5"/>
    <n v="31.624999999999996"/>
    <n v="189.74999999999997"/>
    <x v="1"/>
    <x v="0"/>
    <x v="0"/>
  </r>
  <r>
    <x v="296"/>
    <x v="187"/>
    <s v="37445-17791-NQ"/>
    <s v="R-M-0.5"/>
    <n v="1"/>
    <x v="293"/>
    <s v="nleethem8o@mac.com"/>
    <x v="0"/>
    <s v="Rob"/>
    <s v="M"/>
    <n v="0.5"/>
    <n v="5.97"/>
    <n v="5.97"/>
    <x v="0"/>
    <x v="0"/>
    <x v="0"/>
  </r>
  <r>
    <x v="297"/>
    <x v="248"/>
    <s v="58511-10548-ZU"/>
    <s v="R-M-1"/>
    <n v="3"/>
    <x v="294"/>
    <s v="anesfield8p@people.com.cn"/>
    <x v="2"/>
    <s v="Rob"/>
    <s v="M"/>
    <n v="1"/>
    <n v="9.9499999999999993"/>
    <n v="29.849999999999998"/>
    <x v="0"/>
    <x v="0"/>
    <x v="0"/>
  </r>
  <r>
    <x v="298"/>
    <x v="264"/>
    <s v="47725-34771-FJ"/>
    <s v="R-D-1"/>
    <n v="5"/>
    <x v="295"/>
    <s v=""/>
    <x v="0"/>
    <s v="Rob"/>
    <s v="D"/>
    <n v="1"/>
    <n v="8.9499999999999993"/>
    <n v="44.75"/>
    <x v="0"/>
    <x v="2"/>
    <x v="1"/>
  </r>
  <r>
    <x v="299"/>
    <x v="265"/>
    <s v="53086-67334-KT"/>
    <s v="E-L-2.5"/>
    <n v="1"/>
    <x v="296"/>
    <s v="mbrockway8r@ibm.com"/>
    <x v="0"/>
    <s v="Exc"/>
    <s v="L"/>
    <n v="2.5"/>
    <n v="34.154999999999994"/>
    <n v="34.154999999999994"/>
    <x v="1"/>
    <x v="1"/>
    <x v="0"/>
  </r>
  <r>
    <x v="300"/>
    <x v="266"/>
    <s v="83308-82257-UN"/>
    <s v="E-L-2.5"/>
    <n v="6"/>
    <x v="297"/>
    <s v="nlush8s@dedecms.com"/>
    <x v="1"/>
    <s v="Exc"/>
    <s v="L"/>
    <n v="2.5"/>
    <n v="34.154999999999994"/>
    <n v="204.92999999999995"/>
    <x v="1"/>
    <x v="1"/>
    <x v="1"/>
  </r>
  <r>
    <x v="301"/>
    <x v="267"/>
    <s v="37274-08534-FM"/>
    <s v="E-D-0.5"/>
    <n v="3"/>
    <x v="298"/>
    <s v="smcmillian8t@csmonitor.com"/>
    <x v="0"/>
    <s v="Exc"/>
    <s v="D"/>
    <n v="0.5"/>
    <n v="7.29"/>
    <n v="21.87"/>
    <x v="1"/>
    <x v="2"/>
    <x v="1"/>
  </r>
  <r>
    <x v="302"/>
    <x v="204"/>
    <s v="54004-04664-AA"/>
    <s v="A-M-2.5"/>
    <n v="2"/>
    <x v="299"/>
    <s v="tbennison8u@google.cn"/>
    <x v="0"/>
    <s v="Ara"/>
    <s v="M"/>
    <n v="2.5"/>
    <n v="25.874999999999996"/>
    <n v="51.749999999999993"/>
    <x v="2"/>
    <x v="0"/>
    <x v="0"/>
  </r>
  <r>
    <x v="303"/>
    <x v="268"/>
    <s v="26822-19510-SD"/>
    <s v="E-M-0.2"/>
    <n v="2"/>
    <x v="300"/>
    <s v="gtweed8v@yolasite.com"/>
    <x v="0"/>
    <s v="Exc"/>
    <s v="M"/>
    <n v="0.2"/>
    <n v="4.125"/>
    <n v="8.25"/>
    <x v="1"/>
    <x v="0"/>
    <x v="0"/>
  </r>
  <r>
    <x v="303"/>
    <x v="268"/>
    <s v="26822-19510-SD"/>
    <s v="A-L-0.2"/>
    <n v="5"/>
    <x v="300"/>
    <s v="gtweed8v@yolasite.com"/>
    <x v="0"/>
    <s v="Ara"/>
    <s v="L"/>
    <n v="0.2"/>
    <n v="3.8849999999999998"/>
    <n v="19.424999999999997"/>
    <x v="2"/>
    <x v="1"/>
    <x v="0"/>
  </r>
  <r>
    <x v="304"/>
    <x v="269"/>
    <s v="06432-73165-ML"/>
    <s v="A-M-0.2"/>
    <n v="6"/>
    <x v="301"/>
    <s v="ggoggin8x@wix.com"/>
    <x v="1"/>
    <s v="Ara"/>
    <s v="M"/>
    <n v="0.2"/>
    <n v="3.375"/>
    <n v="20.25"/>
    <x v="2"/>
    <x v="0"/>
    <x v="0"/>
  </r>
  <r>
    <x v="305"/>
    <x v="145"/>
    <s v="96503-31833-CW"/>
    <s v="L-D-0.5"/>
    <n v="3"/>
    <x v="302"/>
    <s v="sjeyness8y@biglobe.ne.jp"/>
    <x v="1"/>
    <s v="Lib"/>
    <s v="D"/>
    <n v="0.5"/>
    <n v="7.77"/>
    <n v="23.31"/>
    <x v="3"/>
    <x v="2"/>
    <x v="1"/>
  </r>
  <r>
    <x v="306"/>
    <x v="270"/>
    <s v="63985-64148-MG"/>
    <s v="E-D-0.2"/>
    <n v="5"/>
    <x v="303"/>
    <s v="dbonhome8z@shinystat.com"/>
    <x v="0"/>
    <s v="Exc"/>
    <s v="D"/>
    <n v="0.2"/>
    <n v="3.645"/>
    <n v="18.225000000000001"/>
    <x v="1"/>
    <x v="2"/>
    <x v="0"/>
  </r>
  <r>
    <x v="307"/>
    <x v="271"/>
    <s v="19597-91185-CM"/>
    <s v="E-M-1"/>
    <n v="1"/>
    <x v="304"/>
    <s v=""/>
    <x v="0"/>
    <s v="Exc"/>
    <s v="M"/>
    <n v="1"/>
    <n v="13.75"/>
    <n v="13.75"/>
    <x v="1"/>
    <x v="0"/>
    <x v="1"/>
  </r>
  <r>
    <x v="308"/>
    <x v="272"/>
    <s v="79814-23626-JR"/>
    <s v="A-L-2.5"/>
    <n v="1"/>
    <x v="305"/>
    <s v="tle91@epa.gov"/>
    <x v="0"/>
    <s v="Ara"/>
    <s v="L"/>
    <n v="2.5"/>
    <n v="29.784999999999997"/>
    <n v="29.784999999999997"/>
    <x v="2"/>
    <x v="1"/>
    <x v="0"/>
  </r>
  <r>
    <x v="309"/>
    <x v="252"/>
    <s v="43439-94003-DW"/>
    <s v="R-D-1"/>
    <n v="5"/>
    <x v="306"/>
    <s v=""/>
    <x v="0"/>
    <s v="Rob"/>
    <s v="D"/>
    <n v="1"/>
    <n v="8.9499999999999993"/>
    <n v="44.75"/>
    <x v="0"/>
    <x v="2"/>
    <x v="1"/>
  </r>
  <r>
    <x v="310"/>
    <x v="273"/>
    <s v="97655-45555-LI"/>
    <s v="R-D-1"/>
    <n v="5"/>
    <x v="307"/>
    <s v="balldridge93@yandex.ru"/>
    <x v="0"/>
    <s v="Rob"/>
    <s v="D"/>
    <n v="1"/>
    <n v="8.9499999999999993"/>
    <n v="44.75"/>
    <x v="0"/>
    <x v="2"/>
    <x v="0"/>
  </r>
  <r>
    <x v="311"/>
    <x v="274"/>
    <s v="64418-01720-VW"/>
    <s v="L-L-0.5"/>
    <n v="4"/>
    <x v="308"/>
    <s v=""/>
    <x v="0"/>
    <s v="Lib"/>
    <s v="L"/>
    <n v="0.5"/>
    <n v="9.51"/>
    <n v="38.04"/>
    <x v="3"/>
    <x v="1"/>
    <x v="0"/>
  </r>
  <r>
    <x v="312"/>
    <x v="275"/>
    <s v="96836-09258-RI"/>
    <s v="R-D-0.5"/>
    <n v="4"/>
    <x v="309"/>
    <s v="lgoodger95@guardian.co.uk"/>
    <x v="0"/>
    <s v="Rob"/>
    <s v="D"/>
    <n v="0.5"/>
    <n v="5.3699999999999992"/>
    <n v="21.479999999999997"/>
    <x v="0"/>
    <x v="2"/>
    <x v="0"/>
  </r>
  <r>
    <x v="313"/>
    <x v="276"/>
    <s v="37274-08534-FM"/>
    <s v="R-D-0.5"/>
    <n v="3"/>
    <x v="298"/>
    <s v="smcmillian8t@csmonitor.com"/>
    <x v="0"/>
    <s v="Rob"/>
    <s v="D"/>
    <n v="0.5"/>
    <n v="5.3699999999999992"/>
    <n v="16.11"/>
    <x v="0"/>
    <x v="2"/>
    <x v="1"/>
  </r>
  <r>
    <x v="314"/>
    <x v="277"/>
    <s v="69529-07533-CV"/>
    <s v="R-M-2.5"/>
    <n v="1"/>
    <x v="310"/>
    <s v="cdrewett97@wikipedia.org"/>
    <x v="0"/>
    <s v="Rob"/>
    <s v="M"/>
    <n v="2.5"/>
    <n v="22.884999999999998"/>
    <n v="22.884999999999998"/>
    <x v="0"/>
    <x v="0"/>
    <x v="0"/>
  </r>
  <r>
    <x v="315"/>
    <x v="278"/>
    <s v="94840-49457-UD"/>
    <s v="A-D-0.5"/>
    <n v="3"/>
    <x v="311"/>
    <s v="qparsons98@blogtalkradio.com"/>
    <x v="0"/>
    <s v="Ara"/>
    <s v="D"/>
    <n v="0.5"/>
    <n v="5.97"/>
    <n v="17.91"/>
    <x v="2"/>
    <x v="2"/>
    <x v="0"/>
  </r>
  <r>
    <x v="316"/>
    <x v="279"/>
    <s v="81414-81273-DK"/>
    <s v="R-M-0.5"/>
    <n v="4"/>
    <x v="312"/>
    <s v="vceely99@auda.org.au"/>
    <x v="0"/>
    <s v="Rob"/>
    <s v="M"/>
    <n v="0.5"/>
    <n v="5.97"/>
    <n v="23.88"/>
    <x v="0"/>
    <x v="0"/>
    <x v="0"/>
  </r>
  <r>
    <x v="317"/>
    <x v="280"/>
    <s v="76930-61689-CH"/>
    <s v="R-L-1"/>
    <n v="5"/>
    <x v="313"/>
    <s v=""/>
    <x v="0"/>
    <s v="Rob"/>
    <s v="L"/>
    <n v="1"/>
    <n v="11.95"/>
    <n v="59.75"/>
    <x v="0"/>
    <x v="1"/>
    <x v="1"/>
  </r>
  <r>
    <x v="318"/>
    <x v="281"/>
    <s v="12839-56537-TQ"/>
    <s v="L-L-0.2"/>
    <n v="6"/>
    <x v="314"/>
    <s v="cvasiliev9b@discuz.net"/>
    <x v="0"/>
    <s v="Lib"/>
    <s v="L"/>
    <n v="0.2"/>
    <n v="4.7549999999999999"/>
    <n v="28.53"/>
    <x v="3"/>
    <x v="1"/>
    <x v="0"/>
  </r>
  <r>
    <x v="319"/>
    <x v="282"/>
    <s v="62741-01322-HU"/>
    <s v="A-M-1"/>
    <n v="4"/>
    <x v="315"/>
    <s v="tomoylan9c@liveinternet.ru"/>
    <x v="2"/>
    <s v="Ara"/>
    <s v="M"/>
    <n v="1"/>
    <n v="11.25"/>
    <n v="45"/>
    <x v="2"/>
    <x v="0"/>
    <x v="1"/>
  </r>
  <r>
    <x v="320"/>
    <x v="283"/>
    <s v="43439-94003-DW"/>
    <s v="E-D-2.5"/>
    <n v="2"/>
    <x v="306"/>
    <s v=""/>
    <x v="0"/>
    <s v="Exc"/>
    <s v="D"/>
    <n v="2.5"/>
    <n v="27.945"/>
    <n v="55.89"/>
    <x v="1"/>
    <x v="2"/>
    <x v="1"/>
  </r>
  <r>
    <x v="321"/>
    <x v="284"/>
    <s v="44932-34838-RM"/>
    <s v="E-L-1"/>
    <n v="4"/>
    <x v="316"/>
    <s v="wfetherston9e@constantcontact.com"/>
    <x v="0"/>
    <s v="Exc"/>
    <s v="L"/>
    <n v="1"/>
    <n v="14.85"/>
    <n v="59.4"/>
    <x v="1"/>
    <x v="1"/>
    <x v="1"/>
  </r>
  <r>
    <x v="322"/>
    <x v="285"/>
    <s v="91181-19412-RQ"/>
    <s v="E-D-0.2"/>
    <n v="2"/>
    <x v="317"/>
    <s v="erasmus9f@techcrunch.com"/>
    <x v="0"/>
    <s v="Exc"/>
    <s v="D"/>
    <n v="0.2"/>
    <n v="3.645"/>
    <n v="7.29"/>
    <x v="1"/>
    <x v="2"/>
    <x v="0"/>
  </r>
  <r>
    <x v="323"/>
    <x v="286"/>
    <s v="37182-54930-XC"/>
    <s v="E-D-0.5"/>
    <n v="1"/>
    <x v="318"/>
    <s v="wgiorgioni9g@wikipedia.org"/>
    <x v="0"/>
    <s v="Exc"/>
    <s v="D"/>
    <n v="0.5"/>
    <n v="7.29"/>
    <n v="7.29"/>
    <x v="1"/>
    <x v="2"/>
    <x v="0"/>
  </r>
  <r>
    <x v="324"/>
    <x v="287"/>
    <s v="08613-17327-XT"/>
    <s v="E-L-0.5"/>
    <n v="2"/>
    <x v="319"/>
    <s v="lscargle9h@myspace.com"/>
    <x v="0"/>
    <s v="Exc"/>
    <s v="L"/>
    <n v="0.5"/>
    <n v="8.91"/>
    <n v="17.82"/>
    <x v="1"/>
    <x v="1"/>
    <x v="1"/>
  </r>
  <r>
    <x v="324"/>
    <x v="287"/>
    <s v="08613-17327-XT"/>
    <s v="L-D-0.5"/>
    <n v="5"/>
    <x v="319"/>
    <s v="lscargle9h@myspace.com"/>
    <x v="0"/>
    <s v="Lib"/>
    <s v="D"/>
    <n v="0.5"/>
    <n v="7.77"/>
    <n v="38.849999999999994"/>
    <x v="3"/>
    <x v="2"/>
    <x v="1"/>
  </r>
  <r>
    <x v="325"/>
    <x v="288"/>
    <s v="70451-38048-AH"/>
    <s v="R-D-0.5"/>
    <n v="6"/>
    <x v="320"/>
    <s v="nclimance9j@europa.eu"/>
    <x v="0"/>
    <s v="Rob"/>
    <s v="D"/>
    <n v="0.5"/>
    <n v="5.3699999999999992"/>
    <n v="32.22"/>
    <x v="0"/>
    <x v="2"/>
    <x v="1"/>
  </r>
  <r>
    <x v="326"/>
    <x v="250"/>
    <s v="35442-75769-PL"/>
    <s v="R-M-1"/>
    <n v="2"/>
    <x v="321"/>
    <s v=""/>
    <x v="1"/>
    <s v="Rob"/>
    <s v="M"/>
    <n v="1"/>
    <n v="9.9499999999999993"/>
    <n v="19.899999999999999"/>
    <x v="0"/>
    <x v="0"/>
    <x v="0"/>
  </r>
  <r>
    <x v="327"/>
    <x v="289"/>
    <s v="83737-56117-JE"/>
    <s v="R-L-1"/>
    <n v="5"/>
    <x v="322"/>
    <s v="asnazle9l@oracle.com"/>
    <x v="0"/>
    <s v="Rob"/>
    <s v="L"/>
    <n v="1"/>
    <n v="11.95"/>
    <n v="59.75"/>
    <x v="0"/>
    <x v="1"/>
    <x v="1"/>
  </r>
  <r>
    <x v="328"/>
    <x v="290"/>
    <s v="07095-81281-NJ"/>
    <s v="A-L-0.5"/>
    <n v="3"/>
    <x v="323"/>
    <s v="rworg9m@arstechnica.com"/>
    <x v="0"/>
    <s v="Ara"/>
    <s v="L"/>
    <n v="0.5"/>
    <n v="7.77"/>
    <n v="23.31"/>
    <x v="2"/>
    <x v="1"/>
    <x v="0"/>
  </r>
  <r>
    <x v="329"/>
    <x v="291"/>
    <s v="77043-48851-HG"/>
    <s v="L-M-1"/>
    <n v="3"/>
    <x v="324"/>
    <s v="ldanes9n@umn.edu"/>
    <x v="0"/>
    <s v="Lib"/>
    <s v="M"/>
    <n v="1"/>
    <n v="14.55"/>
    <n v="43.650000000000006"/>
    <x v="3"/>
    <x v="0"/>
    <x v="1"/>
  </r>
  <r>
    <x v="330"/>
    <x v="292"/>
    <s v="78224-60622-KH"/>
    <s v="E-L-2.5"/>
    <n v="6"/>
    <x v="325"/>
    <s v="skeynd9o@narod.ru"/>
    <x v="0"/>
    <s v="Exc"/>
    <s v="L"/>
    <n v="2.5"/>
    <n v="34.154999999999994"/>
    <n v="204.92999999999995"/>
    <x v="1"/>
    <x v="1"/>
    <x v="1"/>
  </r>
  <r>
    <x v="331"/>
    <x v="293"/>
    <s v="83105-86631-IU"/>
    <s v="R-L-0.2"/>
    <n v="4"/>
    <x v="326"/>
    <s v="ddaveridge9p@arstechnica.com"/>
    <x v="0"/>
    <s v="Rob"/>
    <s v="L"/>
    <n v="0.2"/>
    <n v="3.5849999999999995"/>
    <n v="14.339999999999998"/>
    <x v="0"/>
    <x v="1"/>
    <x v="1"/>
  </r>
  <r>
    <x v="332"/>
    <x v="294"/>
    <s v="99358-65399-TC"/>
    <s v="A-D-0.5"/>
    <n v="4"/>
    <x v="327"/>
    <s v="jawdry9q@utexas.edu"/>
    <x v="0"/>
    <s v="Ara"/>
    <s v="D"/>
    <n v="0.5"/>
    <n v="5.97"/>
    <n v="23.88"/>
    <x v="2"/>
    <x v="2"/>
    <x v="1"/>
  </r>
  <r>
    <x v="333"/>
    <x v="295"/>
    <s v="94525-76037-JP"/>
    <s v="A-M-1"/>
    <n v="2"/>
    <x v="328"/>
    <s v="eryles9r@fastcompany.com"/>
    <x v="0"/>
    <s v="Ara"/>
    <s v="M"/>
    <n v="1"/>
    <n v="11.25"/>
    <n v="22.5"/>
    <x v="2"/>
    <x v="0"/>
    <x v="1"/>
  </r>
  <r>
    <x v="334"/>
    <x v="296"/>
    <s v="43439-94003-DW"/>
    <s v="E-D-0.5"/>
    <n v="5"/>
    <x v="306"/>
    <s v=""/>
    <x v="0"/>
    <s v="Exc"/>
    <s v="D"/>
    <n v="0.5"/>
    <n v="7.29"/>
    <n v="36.450000000000003"/>
    <x v="1"/>
    <x v="2"/>
    <x v="1"/>
  </r>
  <r>
    <x v="335"/>
    <x v="297"/>
    <s v="82718-93677-XO"/>
    <s v="A-M-0.5"/>
    <n v="4"/>
    <x v="329"/>
    <s v=""/>
    <x v="0"/>
    <s v="Ara"/>
    <s v="M"/>
    <n v="0.5"/>
    <n v="6.75"/>
    <n v="27"/>
    <x v="2"/>
    <x v="0"/>
    <x v="0"/>
  </r>
  <r>
    <x v="336"/>
    <x v="298"/>
    <s v="44708-78241-DF"/>
    <s v="A-M-2.5"/>
    <n v="6"/>
    <x v="330"/>
    <s v="jcaldicott9u@usda.gov"/>
    <x v="0"/>
    <s v="Ara"/>
    <s v="M"/>
    <n v="2.5"/>
    <n v="25.874999999999996"/>
    <n v="155.24999999999997"/>
    <x v="2"/>
    <x v="0"/>
    <x v="1"/>
  </r>
  <r>
    <x v="337"/>
    <x v="299"/>
    <s v="23039-93032-FN"/>
    <s v="A-D-2.5"/>
    <n v="5"/>
    <x v="331"/>
    <s v="mvedmore9v@a8.net"/>
    <x v="0"/>
    <s v="Ara"/>
    <s v="D"/>
    <n v="2.5"/>
    <n v="22.884999999999998"/>
    <n v="114.42499999999998"/>
    <x v="2"/>
    <x v="2"/>
    <x v="0"/>
  </r>
  <r>
    <x v="338"/>
    <x v="300"/>
    <s v="35256-12529-FT"/>
    <s v="L-D-1"/>
    <n v="4"/>
    <x v="332"/>
    <s v="wromao9w@chronoengine.com"/>
    <x v="0"/>
    <s v="Lib"/>
    <s v="D"/>
    <n v="1"/>
    <n v="12.95"/>
    <n v="51.8"/>
    <x v="3"/>
    <x v="2"/>
    <x v="0"/>
  </r>
  <r>
    <x v="339"/>
    <x v="301"/>
    <s v="86100-33488-WP"/>
    <s v="A-M-2.5"/>
    <n v="6"/>
    <x v="333"/>
    <s v=""/>
    <x v="0"/>
    <s v="Ara"/>
    <s v="M"/>
    <n v="2.5"/>
    <n v="25.874999999999996"/>
    <n v="155.24999999999997"/>
    <x v="2"/>
    <x v="0"/>
    <x v="1"/>
  </r>
  <r>
    <x v="340"/>
    <x v="302"/>
    <s v="64435-53100-WM"/>
    <s v="A-L-2.5"/>
    <n v="1"/>
    <x v="334"/>
    <s v="tcotmore9y@amazonaws.com"/>
    <x v="0"/>
    <s v="Ara"/>
    <s v="L"/>
    <n v="2.5"/>
    <n v="29.784999999999997"/>
    <n v="29.784999999999997"/>
    <x v="2"/>
    <x v="1"/>
    <x v="1"/>
  </r>
  <r>
    <x v="341"/>
    <x v="303"/>
    <s v="44699-43836-UH"/>
    <s v="R-L-0.2"/>
    <n v="6"/>
    <x v="335"/>
    <s v="yskipsey9z@spotify.com"/>
    <x v="2"/>
    <s v="Rob"/>
    <s v="L"/>
    <n v="0.2"/>
    <n v="3.5849999999999995"/>
    <n v="21.509999999999998"/>
    <x v="0"/>
    <x v="1"/>
    <x v="1"/>
  </r>
  <r>
    <x v="342"/>
    <x v="304"/>
    <s v="29588-35679-RG"/>
    <s v="R-D-2.5"/>
    <n v="2"/>
    <x v="336"/>
    <s v="ncorpsa0@gmpg.org"/>
    <x v="0"/>
    <s v="Rob"/>
    <s v="D"/>
    <n v="2.5"/>
    <n v="20.584999999999997"/>
    <n v="41.169999999999995"/>
    <x v="0"/>
    <x v="2"/>
    <x v="1"/>
  </r>
  <r>
    <x v="342"/>
    <x v="304"/>
    <s v="29588-35679-RG"/>
    <s v="R-M-0.5"/>
    <n v="1"/>
    <x v="336"/>
    <s v="ncorpsa0@gmpg.org"/>
    <x v="0"/>
    <s v="Rob"/>
    <s v="M"/>
    <n v="0.5"/>
    <n v="5.97"/>
    <n v="5.97"/>
    <x v="0"/>
    <x v="0"/>
    <x v="1"/>
  </r>
  <r>
    <x v="343"/>
    <x v="305"/>
    <s v="64815-54078-HH"/>
    <s v="E-L-1"/>
    <n v="5"/>
    <x v="337"/>
    <s v="fbabbera2@stanford.edu"/>
    <x v="0"/>
    <s v="Exc"/>
    <s v="L"/>
    <n v="1"/>
    <n v="14.85"/>
    <n v="74.25"/>
    <x v="1"/>
    <x v="1"/>
    <x v="0"/>
  </r>
  <r>
    <x v="344"/>
    <x v="196"/>
    <s v="59572-41990-XY"/>
    <s v="L-M-1"/>
    <n v="6"/>
    <x v="338"/>
    <s v="kloxtona3@opensource.org"/>
    <x v="0"/>
    <s v="Lib"/>
    <s v="M"/>
    <n v="1"/>
    <n v="14.55"/>
    <n v="87.300000000000011"/>
    <x v="3"/>
    <x v="0"/>
    <x v="1"/>
  </r>
  <r>
    <x v="345"/>
    <x v="110"/>
    <s v="32481-61533-ZJ"/>
    <s v="E-D-1"/>
    <n v="6"/>
    <x v="339"/>
    <s v="ptoffula4@posterous.com"/>
    <x v="0"/>
    <s v="Exc"/>
    <s v="D"/>
    <n v="1"/>
    <n v="12.15"/>
    <n v="72.900000000000006"/>
    <x v="1"/>
    <x v="2"/>
    <x v="0"/>
  </r>
  <r>
    <x v="346"/>
    <x v="24"/>
    <s v="31587-92570-HL"/>
    <s v="L-D-0.5"/>
    <n v="1"/>
    <x v="340"/>
    <s v="cgwinnetta5@behance.net"/>
    <x v="0"/>
    <s v="Lib"/>
    <s v="D"/>
    <n v="0.5"/>
    <n v="7.77"/>
    <n v="7.77"/>
    <x v="3"/>
    <x v="2"/>
    <x v="1"/>
  </r>
  <r>
    <x v="347"/>
    <x v="306"/>
    <s v="93832-04799-ID"/>
    <s v="E-D-0.5"/>
    <n v="6"/>
    <x v="341"/>
    <s v=""/>
    <x v="0"/>
    <s v="Exc"/>
    <s v="D"/>
    <n v="0.5"/>
    <n v="7.29"/>
    <n v="43.74"/>
    <x v="1"/>
    <x v="2"/>
    <x v="1"/>
  </r>
  <r>
    <x v="348"/>
    <x v="307"/>
    <s v="59367-30821-ZQ"/>
    <s v="L-M-0.2"/>
    <n v="2"/>
    <x v="342"/>
    <s v=""/>
    <x v="0"/>
    <s v="Lib"/>
    <s v="M"/>
    <n v="0.2"/>
    <n v="4.3650000000000002"/>
    <n v="8.73"/>
    <x v="3"/>
    <x v="0"/>
    <x v="0"/>
  </r>
  <r>
    <x v="349"/>
    <x v="308"/>
    <s v="83947-45528-ET"/>
    <s v="E-M-2.5"/>
    <n v="2"/>
    <x v="343"/>
    <s v="lflaoniera8@wordpress.org"/>
    <x v="0"/>
    <s v="Exc"/>
    <s v="M"/>
    <n v="2.5"/>
    <n v="31.624999999999996"/>
    <n v="63.249999999999993"/>
    <x v="1"/>
    <x v="0"/>
    <x v="1"/>
  </r>
  <r>
    <x v="350"/>
    <x v="309"/>
    <s v="60799-92593-CX"/>
    <s v="E-L-0.5"/>
    <n v="1"/>
    <x v="344"/>
    <s v=""/>
    <x v="0"/>
    <s v="Exc"/>
    <s v="L"/>
    <n v="0.5"/>
    <n v="8.91"/>
    <n v="8.91"/>
    <x v="1"/>
    <x v="1"/>
    <x v="0"/>
  </r>
  <r>
    <x v="351"/>
    <x v="310"/>
    <s v="61600-55136-UM"/>
    <s v="E-D-1"/>
    <n v="2"/>
    <x v="345"/>
    <s v="ccatchesideaa@macromedia.com"/>
    <x v="0"/>
    <s v="Exc"/>
    <s v="D"/>
    <n v="1"/>
    <n v="12.15"/>
    <n v="24.3"/>
    <x v="1"/>
    <x v="2"/>
    <x v="0"/>
  </r>
  <r>
    <x v="352"/>
    <x v="311"/>
    <s v="59771-90302-OF"/>
    <s v="A-L-0.5"/>
    <n v="6"/>
    <x v="346"/>
    <s v="cgibbonsonab@accuweather.com"/>
    <x v="0"/>
    <s v="Ara"/>
    <s v="L"/>
    <n v="0.5"/>
    <n v="7.77"/>
    <n v="46.62"/>
    <x v="2"/>
    <x v="1"/>
    <x v="0"/>
  </r>
  <r>
    <x v="353"/>
    <x v="132"/>
    <s v="16880-78077-FB"/>
    <s v="R-L-0.5"/>
    <n v="6"/>
    <x v="347"/>
    <s v="tfarraac@behance.net"/>
    <x v="0"/>
    <s v="Rob"/>
    <s v="L"/>
    <n v="0.5"/>
    <n v="7.169999999999999"/>
    <n v="43.019999999999996"/>
    <x v="0"/>
    <x v="1"/>
    <x v="1"/>
  </r>
  <r>
    <x v="354"/>
    <x v="312"/>
    <s v="74415-50873-FC"/>
    <s v="A-D-0.5"/>
    <n v="3"/>
    <x v="348"/>
    <s v=""/>
    <x v="1"/>
    <s v="Ara"/>
    <s v="D"/>
    <n v="0.5"/>
    <n v="5.97"/>
    <n v="17.91"/>
    <x v="2"/>
    <x v="2"/>
    <x v="0"/>
  </r>
  <r>
    <x v="355"/>
    <x v="313"/>
    <s v="31798-95707-NR"/>
    <s v="L-L-0.5"/>
    <n v="4"/>
    <x v="349"/>
    <s v="gbamfieldae@yellowpages.com"/>
    <x v="0"/>
    <s v="Lib"/>
    <s v="L"/>
    <n v="0.5"/>
    <n v="9.51"/>
    <n v="38.04"/>
    <x v="3"/>
    <x v="1"/>
    <x v="0"/>
  </r>
  <r>
    <x v="356"/>
    <x v="156"/>
    <s v="59122-08794-WT"/>
    <s v="A-M-0.2"/>
    <n v="2"/>
    <x v="350"/>
    <s v="whollingdaleaf@about.me"/>
    <x v="0"/>
    <s v="Ara"/>
    <s v="M"/>
    <n v="0.2"/>
    <n v="3.375"/>
    <n v="6.75"/>
    <x v="2"/>
    <x v="0"/>
    <x v="0"/>
  </r>
  <r>
    <x v="357"/>
    <x v="314"/>
    <s v="37238-52421-JJ"/>
    <s v="R-M-0.5"/>
    <n v="1"/>
    <x v="351"/>
    <s v="jdeag@xrea.com"/>
    <x v="0"/>
    <s v="Rob"/>
    <s v="M"/>
    <n v="0.5"/>
    <n v="5.97"/>
    <n v="5.97"/>
    <x v="0"/>
    <x v="0"/>
    <x v="0"/>
  </r>
  <r>
    <x v="358"/>
    <x v="315"/>
    <s v="48854-01899-FN"/>
    <s v="R-D-0.2"/>
    <n v="3"/>
    <x v="352"/>
    <s v="vskulletah@tinyurl.com"/>
    <x v="1"/>
    <s v="Rob"/>
    <s v="D"/>
    <n v="0.2"/>
    <n v="2.6849999999999996"/>
    <n v="8.0549999999999997"/>
    <x v="0"/>
    <x v="2"/>
    <x v="1"/>
  </r>
  <r>
    <x v="359"/>
    <x v="316"/>
    <s v="80896-38819-DW"/>
    <s v="A-L-0.5"/>
    <n v="3"/>
    <x v="353"/>
    <s v="jrudeforthai@wunderground.com"/>
    <x v="1"/>
    <s v="Ara"/>
    <s v="L"/>
    <n v="0.5"/>
    <n v="7.77"/>
    <n v="23.31"/>
    <x v="2"/>
    <x v="1"/>
    <x v="0"/>
  </r>
  <r>
    <x v="360"/>
    <x v="317"/>
    <s v="29814-01459-RC"/>
    <s v="R-L-0.5"/>
    <n v="6"/>
    <x v="354"/>
    <s v="atomaszewskiaj@answers.com"/>
    <x v="2"/>
    <s v="Rob"/>
    <s v="L"/>
    <n v="0.5"/>
    <n v="7.169999999999999"/>
    <n v="43.019999999999996"/>
    <x v="0"/>
    <x v="1"/>
    <x v="0"/>
  </r>
  <r>
    <x v="361"/>
    <x v="318"/>
    <s v="43439-94003-DW"/>
    <s v="L-D-0.5"/>
    <n v="3"/>
    <x v="306"/>
    <s v=""/>
    <x v="0"/>
    <s v="Lib"/>
    <s v="D"/>
    <n v="0.5"/>
    <n v="7.77"/>
    <n v="23.31"/>
    <x v="3"/>
    <x v="2"/>
    <x v="1"/>
  </r>
  <r>
    <x v="362"/>
    <x v="182"/>
    <s v="48497-29281-FE"/>
    <s v="A-D-0.2"/>
    <n v="5"/>
    <x v="355"/>
    <s v="pbessal@qq.com"/>
    <x v="0"/>
    <s v="Ara"/>
    <s v="D"/>
    <n v="0.2"/>
    <n v="2.9849999999999999"/>
    <n v="14.924999999999999"/>
    <x v="2"/>
    <x v="2"/>
    <x v="0"/>
  </r>
  <r>
    <x v="363"/>
    <x v="319"/>
    <s v="43605-12616-YH"/>
    <s v="E-D-0.5"/>
    <n v="3"/>
    <x v="356"/>
    <s v="ewindressam@marketwatch.com"/>
    <x v="0"/>
    <s v="Exc"/>
    <s v="D"/>
    <n v="0.5"/>
    <n v="7.29"/>
    <n v="21.87"/>
    <x v="1"/>
    <x v="2"/>
    <x v="1"/>
  </r>
  <r>
    <x v="364"/>
    <x v="320"/>
    <s v="21907-75962-VB"/>
    <s v="E-L-0.5"/>
    <n v="6"/>
    <x v="357"/>
    <s v=""/>
    <x v="0"/>
    <s v="Exc"/>
    <s v="L"/>
    <n v="0.5"/>
    <n v="8.91"/>
    <n v="53.46"/>
    <x v="1"/>
    <x v="1"/>
    <x v="0"/>
  </r>
  <r>
    <x v="365"/>
    <x v="321"/>
    <s v="69503-12127-YD"/>
    <s v="A-L-2.5"/>
    <n v="4"/>
    <x v="358"/>
    <s v=""/>
    <x v="0"/>
    <s v="Ara"/>
    <s v="L"/>
    <n v="2.5"/>
    <n v="29.784999999999997"/>
    <n v="119.13999999999999"/>
    <x v="2"/>
    <x v="1"/>
    <x v="1"/>
  </r>
  <r>
    <x v="366"/>
    <x v="322"/>
    <s v="68810-07329-EU"/>
    <s v="L-M-0.5"/>
    <n v="5"/>
    <x v="359"/>
    <s v="vbaumadierap@google.cn"/>
    <x v="0"/>
    <s v="Lib"/>
    <s v="M"/>
    <n v="0.5"/>
    <n v="8.73"/>
    <n v="43.650000000000006"/>
    <x v="3"/>
    <x v="0"/>
    <x v="0"/>
  </r>
  <r>
    <x v="367"/>
    <x v="128"/>
    <s v="08478-75251-OG"/>
    <s v="A-D-0.2"/>
    <n v="6"/>
    <x v="360"/>
    <s v=""/>
    <x v="0"/>
    <s v="Ara"/>
    <s v="D"/>
    <n v="0.2"/>
    <n v="2.9849999999999999"/>
    <n v="17.91"/>
    <x v="2"/>
    <x v="2"/>
    <x v="0"/>
  </r>
  <r>
    <x v="368"/>
    <x v="323"/>
    <s v="17005-82030-EA"/>
    <s v="E-L-1"/>
    <n v="5"/>
    <x v="361"/>
    <s v="sweldsar@wired.com"/>
    <x v="0"/>
    <s v="Exc"/>
    <s v="L"/>
    <n v="1"/>
    <n v="14.85"/>
    <n v="74.25"/>
    <x v="1"/>
    <x v="1"/>
    <x v="0"/>
  </r>
  <r>
    <x v="369"/>
    <x v="324"/>
    <s v="42179-95059-DO"/>
    <s v="L-D-0.2"/>
    <n v="3"/>
    <x v="362"/>
    <s v="msarvaras@artisteer.com"/>
    <x v="0"/>
    <s v="Lib"/>
    <s v="D"/>
    <n v="0.2"/>
    <n v="3.8849999999999998"/>
    <n v="11.654999999999999"/>
    <x v="3"/>
    <x v="2"/>
    <x v="0"/>
  </r>
  <r>
    <x v="370"/>
    <x v="325"/>
    <s v="55989-39849-WO"/>
    <s v="L-D-0.5"/>
    <n v="3"/>
    <x v="363"/>
    <s v="ahavickat@nsw.gov.au"/>
    <x v="0"/>
    <s v="Lib"/>
    <s v="D"/>
    <n v="0.5"/>
    <n v="7.77"/>
    <n v="23.31"/>
    <x v="3"/>
    <x v="2"/>
    <x v="0"/>
  </r>
  <r>
    <x v="371"/>
    <x v="326"/>
    <s v="28932-49296-TM"/>
    <s v="E-D-0.5"/>
    <n v="2"/>
    <x v="364"/>
    <s v="sdivinyau@ask.com"/>
    <x v="0"/>
    <s v="Exc"/>
    <s v="D"/>
    <n v="0.5"/>
    <n v="7.29"/>
    <n v="14.58"/>
    <x v="1"/>
    <x v="2"/>
    <x v="0"/>
  </r>
  <r>
    <x v="372"/>
    <x v="327"/>
    <s v="86144-10144-CB"/>
    <s v="A-M-0.5"/>
    <n v="2"/>
    <x v="365"/>
    <s v="inorquoyav@businessweek.com"/>
    <x v="0"/>
    <s v="Ara"/>
    <s v="M"/>
    <n v="0.5"/>
    <n v="6.75"/>
    <n v="13.5"/>
    <x v="2"/>
    <x v="0"/>
    <x v="1"/>
  </r>
  <r>
    <x v="373"/>
    <x v="328"/>
    <s v="60973-72562-DQ"/>
    <s v="E-L-1"/>
    <n v="6"/>
    <x v="366"/>
    <s v="aiddisonaw@usa.gov"/>
    <x v="0"/>
    <s v="Exc"/>
    <s v="L"/>
    <n v="1"/>
    <n v="14.85"/>
    <n v="89.1"/>
    <x v="1"/>
    <x v="1"/>
    <x v="1"/>
  </r>
  <r>
    <x v="373"/>
    <x v="328"/>
    <s v="60973-72562-DQ"/>
    <s v="A-L-0.2"/>
    <n v="1"/>
    <x v="366"/>
    <s v="aiddisonaw@usa.gov"/>
    <x v="0"/>
    <s v="Ara"/>
    <s v="L"/>
    <n v="0.2"/>
    <n v="3.8849999999999998"/>
    <n v="3.8849999999999998"/>
    <x v="2"/>
    <x v="1"/>
    <x v="1"/>
  </r>
  <r>
    <x v="374"/>
    <x v="128"/>
    <s v="11263-86515-VU"/>
    <s v="R-L-2.5"/>
    <n v="4"/>
    <x v="367"/>
    <s v="rlongfielday@bluehost.com"/>
    <x v="0"/>
    <s v="Rob"/>
    <s v="L"/>
    <n v="2.5"/>
    <n v="27.484999999999996"/>
    <n v="109.93999999999998"/>
    <x v="0"/>
    <x v="1"/>
    <x v="1"/>
  </r>
  <r>
    <x v="375"/>
    <x v="329"/>
    <s v="60004-62976-NI"/>
    <s v="L-D-0.5"/>
    <n v="6"/>
    <x v="368"/>
    <s v="gkislingburyaz@samsung.com"/>
    <x v="0"/>
    <s v="Lib"/>
    <s v="D"/>
    <n v="0.5"/>
    <n v="7.77"/>
    <n v="46.62"/>
    <x v="3"/>
    <x v="2"/>
    <x v="0"/>
  </r>
  <r>
    <x v="376"/>
    <x v="330"/>
    <s v="77876-28498-HI"/>
    <s v="A-L-0.5"/>
    <n v="5"/>
    <x v="369"/>
    <s v="xgibbonsb0@artisteer.com"/>
    <x v="0"/>
    <s v="Ara"/>
    <s v="L"/>
    <n v="0.5"/>
    <n v="7.77"/>
    <n v="38.849999999999994"/>
    <x v="2"/>
    <x v="1"/>
    <x v="1"/>
  </r>
  <r>
    <x v="377"/>
    <x v="331"/>
    <s v="61302-06948-EH"/>
    <s v="L-D-0.5"/>
    <n v="4"/>
    <x v="370"/>
    <s v="fparresb1@imageshack.us"/>
    <x v="0"/>
    <s v="Lib"/>
    <s v="D"/>
    <n v="0.5"/>
    <n v="7.77"/>
    <n v="31.08"/>
    <x v="3"/>
    <x v="2"/>
    <x v="0"/>
  </r>
  <r>
    <x v="378"/>
    <x v="332"/>
    <s v="06757-96251-UH"/>
    <s v="A-D-0.2"/>
    <n v="6"/>
    <x v="371"/>
    <s v="gsibrayb2@wsj.com"/>
    <x v="0"/>
    <s v="Ara"/>
    <s v="D"/>
    <n v="0.2"/>
    <n v="2.9849999999999999"/>
    <n v="17.91"/>
    <x v="2"/>
    <x v="2"/>
    <x v="0"/>
  </r>
  <r>
    <x v="379"/>
    <x v="333"/>
    <s v="44530-75983-OD"/>
    <s v="E-D-2.5"/>
    <n v="6"/>
    <x v="372"/>
    <s v="ihotchkinb3@mit.edu"/>
    <x v="2"/>
    <s v="Exc"/>
    <s v="D"/>
    <n v="2.5"/>
    <n v="27.945"/>
    <n v="167.67000000000002"/>
    <x v="1"/>
    <x v="2"/>
    <x v="1"/>
  </r>
  <r>
    <x v="380"/>
    <x v="334"/>
    <s v="44865-58249-RY"/>
    <s v="L-L-1"/>
    <n v="4"/>
    <x v="373"/>
    <s v="nbroadberrieb4@gnu.org"/>
    <x v="0"/>
    <s v="Lib"/>
    <s v="L"/>
    <n v="1"/>
    <n v="15.85"/>
    <n v="63.4"/>
    <x v="3"/>
    <x v="1"/>
    <x v="1"/>
  </r>
  <r>
    <x v="381"/>
    <x v="335"/>
    <s v="36021-61205-DF"/>
    <s v="L-M-0.2"/>
    <n v="2"/>
    <x v="374"/>
    <s v="rpithcockb5@yellowbook.com"/>
    <x v="0"/>
    <s v="Lib"/>
    <s v="M"/>
    <n v="0.2"/>
    <n v="4.3650000000000002"/>
    <n v="8.73"/>
    <x v="3"/>
    <x v="0"/>
    <x v="0"/>
  </r>
  <r>
    <x v="382"/>
    <x v="336"/>
    <s v="75716-12782-SS"/>
    <s v="R-D-1"/>
    <n v="3"/>
    <x v="375"/>
    <s v="gcroysdaleb6@nih.gov"/>
    <x v="0"/>
    <s v="Rob"/>
    <s v="D"/>
    <n v="1"/>
    <n v="8.9499999999999993"/>
    <n v="26.849999999999998"/>
    <x v="0"/>
    <x v="2"/>
    <x v="0"/>
  </r>
  <r>
    <x v="383"/>
    <x v="337"/>
    <s v="11812-00461-KH"/>
    <s v="L-L-0.2"/>
    <n v="2"/>
    <x v="376"/>
    <s v="bgozzettb7@github.com"/>
    <x v="0"/>
    <s v="Lib"/>
    <s v="L"/>
    <n v="0.2"/>
    <n v="4.7549999999999999"/>
    <n v="9.51"/>
    <x v="3"/>
    <x v="1"/>
    <x v="1"/>
  </r>
  <r>
    <x v="384"/>
    <x v="80"/>
    <s v="46681-78850-ZW"/>
    <s v="A-D-1"/>
    <n v="4"/>
    <x v="377"/>
    <s v="tcraggsb8@house.gov"/>
    <x v="1"/>
    <s v="Ara"/>
    <s v="D"/>
    <n v="1"/>
    <n v="9.9499999999999993"/>
    <n v="39.799999999999997"/>
    <x v="2"/>
    <x v="2"/>
    <x v="1"/>
  </r>
  <r>
    <x v="385"/>
    <x v="338"/>
    <s v="01932-87052-KO"/>
    <s v="E-M-0.5"/>
    <n v="3"/>
    <x v="378"/>
    <s v="lcullrfordb9@xing.com"/>
    <x v="0"/>
    <s v="Exc"/>
    <s v="M"/>
    <n v="0.5"/>
    <n v="8.25"/>
    <n v="24.75"/>
    <x v="1"/>
    <x v="0"/>
    <x v="0"/>
  </r>
  <r>
    <x v="386"/>
    <x v="339"/>
    <s v="16046-34805-ZF"/>
    <s v="E-M-1"/>
    <n v="5"/>
    <x v="379"/>
    <s v="arizonba@xing.com"/>
    <x v="0"/>
    <s v="Exc"/>
    <s v="M"/>
    <n v="1"/>
    <n v="13.75"/>
    <n v="68.75"/>
    <x v="1"/>
    <x v="0"/>
    <x v="0"/>
  </r>
  <r>
    <x v="387"/>
    <x v="340"/>
    <s v="34546-70516-LR"/>
    <s v="E-M-0.5"/>
    <n v="6"/>
    <x v="380"/>
    <s v=""/>
    <x v="1"/>
    <s v="Exc"/>
    <s v="M"/>
    <n v="0.5"/>
    <n v="8.25"/>
    <n v="49.5"/>
    <x v="1"/>
    <x v="0"/>
    <x v="1"/>
  </r>
  <r>
    <x v="388"/>
    <x v="177"/>
    <s v="73699-93557-FZ"/>
    <s v="A-M-2.5"/>
    <n v="2"/>
    <x v="381"/>
    <s v="fmiellbc@spiegel.de"/>
    <x v="0"/>
    <s v="Ara"/>
    <s v="M"/>
    <n v="2.5"/>
    <n v="25.874999999999996"/>
    <n v="51.749999999999993"/>
    <x v="2"/>
    <x v="0"/>
    <x v="0"/>
  </r>
  <r>
    <x v="389"/>
    <x v="341"/>
    <s v="86686-37462-CK"/>
    <s v="L-L-1"/>
    <n v="3"/>
    <x v="382"/>
    <s v=""/>
    <x v="1"/>
    <s v="Lib"/>
    <s v="L"/>
    <n v="1"/>
    <n v="15.85"/>
    <n v="47.55"/>
    <x v="3"/>
    <x v="1"/>
    <x v="0"/>
  </r>
  <r>
    <x v="390"/>
    <x v="342"/>
    <s v="14298-02150-KH"/>
    <s v="A-L-0.2"/>
    <n v="4"/>
    <x v="383"/>
    <s v=""/>
    <x v="0"/>
    <s v="Ara"/>
    <s v="L"/>
    <n v="0.2"/>
    <n v="3.8849999999999998"/>
    <n v="15.54"/>
    <x v="2"/>
    <x v="1"/>
    <x v="1"/>
  </r>
  <r>
    <x v="391"/>
    <x v="343"/>
    <s v="48675-07824-HJ"/>
    <s v="L-M-1"/>
    <n v="6"/>
    <x v="384"/>
    <s v=""/>
    <x v="0"/>
    <s v="Lib"/>
    <s v="M"/>
    <n v="1"/>
    <n v="14.55"/>
    <n v="87.300000000000011"/>
    <x v="3"/>
    <x v="0"/>
    <x v="0"/>
  </r>
  <r>
    <x v="392"/>
    <x v="344"/>
    <s v="18551-80943-YQ"/>
    <s v="A-M-1"/>
    <n v="5"/>
    <x v="385"/>
    <s v=""/>
    <x v="0"/>
    <s v="Ara"/>
    <s v="M"/>
    <n v="1"/>
    <n v="11.25"/>
    <n v="56.25"/>
    <x v="2"/>
    <x v="0"/>
    <x v="0"/>
  </r>
  <r>
    <x v="393"/>
    <x v="47"/>
    <s v="19196-09748-DB"/>
    <s v="L-L-2.5"/>
    <n v="1"/>
    <x v="386"/>
    <s v="wspringallbh@jugem.jp"/>
    <x v="0"/>
    <s v="Lib"/>
    <s v="L"/>
    <n v="2.5"/>
    <n v="36.454999999999998"/>
    <n v="36.454999999999998"/>
    <x v="3"/>
    <x v="1"/>
    <x v="0"/>
  </r>
  <r>
    <x v="394"/>
    <x v="345"/>
    <s v="72233-08665-IP"/>
    <s v="R-L-0.2"/>
    <n v="3"/>
    <x v="387"/>
    <s v=""/>
    <x v="0"/>
    <s v="Rob"/>
    <s v="L"/>
    <n v="0.2"/>
    <n v="3.5849999999999995"/>
    <n v="10.754999999999999"/>
    <x v="0"/>
    <x v="1"/>
    <x v="0"/>
  </r>
  <r>
    <x v="395"/>
    <x v="169"/>
    <s v="53817-13148-RK"/>
    <s v="R-M-0.2"/>
    <n v="3"/>
    <x v="388"/>
    <s v="ghawkyensbj@census.gov"/>
    <x v="0"/>
    <s v="Rob"/>
    <s v="M"/>
    <n v="0.2"/>
    <n v="2.9849999999999999"/>
    <n v="8.9550000000000001"/>
    <x v="0"/>
    <x v="0"/>
    <x v="1"/>
  </r>
  <r>
    <x v="396"/>
    <x v="346"/>
    <s v="92227-49331-QR"/>
    <s v="A-L-0.5"/>
    <n v="3"/>
    <x v="389"/>
    <s v=""/>
    <x v="0"/>
    <s v="Ara"/>
    <s v="L"/>
    <n v="0.5"/>
    <n v="7.77"/>
    <n v="23.31"/>
    <x v="2"/>
    <x v="1"/>
    <x v="0"/>
  </r>
  <r>
    <x v="397"/>
    <x v="347"/>
    <s v="12997-41076-FQ"/>
    <s v="A-L-2.5"/>
    <n v="1"/>
    <x v="390"/>
    <s v=""/>
    <x v="0"/>
    <s v="Ara"/>
    <s v="L"/>
    <n v="2.5"/>
    <n v="29.784999999999997"/>
    <n v="29.784999999999997"/>
    <x v="2"/>
    <x v="1"/>
    <x v="0"/>
  </r>
  <r>
    <x v="398"/>
    <x v="348"/>
    <s v="44220-00348-MB"/>
    <s v="A-L-2.5"/>
    <n v="5"/>
    <x v="391"/>
    <s v="bmcgilvrabm@so-net.ne.jp"/>
    <x v="0"/>
    <s v="Ara"/>
    <s v="L"/>
    <n v="2.5"/>
    <n v="29.784999999999997"/>
    <n v="148.92499999999998"/>
    <x v="2"/>
    <x v="1"/>
    <x v="0"/>
  </r>
  <r>
    <x v="399"/>
    <x v="349"/>
    <s v="93047-98331-DD"/>
    <s v="L-M-0.5"/>
    <n v="1"/>
    <x v="392"/>
    <s v="adanzeybn@github.com"/>
    <x v="0"/>
    <s v="Lib"/>
    <s v="M"/>
    <n v="0.5"/>
    <n v="8.73"/>
    <n v="8.73"/>
    <x v="3"/>
    <x v="0"/>
    <x v="0"/>
  </r>
  <r>
    <x v="400"/>
    <x v="350"/>
    <s v="16880-78077-FB"/>
    <s v="L-D-0.5"/>
    <n v="4"/>
    <x v="347"/>
    <s v="tfarraac@behance.net"/>
    <x v="0"/>
    <s v="Lib"/>
    <s v="D"/>
    <n v="0.5"/>
    <n v="7.77"/>
    <n v="31.08"/>
    <x v="3"/>
    <x v="2"/>
    <x v="1"/>
  </r>
  <r>
    <x v="400"/>
    <x v="350"/>
    <s v="16880-78077-FB"/>
    <s v="A-D-2.5"/>
    <n v="6"/>
    <x v="347"/>
    <s v="tfarraac@behance.net"/>
    <x v="0"/>
    <s v="Ara"/>
    <s v="D"/>
    <n v="2.5"/>
    <n v="22.884999999999998"/>
    <n v="137.31"/>
    <x v="2"/>
    <x v="2"/>
    <x v="1"/>
  </r>
  <r>
    <x v="401"/>
    <x v="54"/>
    <s v="67285-75317-XI"/>
    <s v="A-D-0.5"/>
    <n v="5"/>
    <x v="393"/>
    <s v=""/>
    <x v="0"/>
    <s v="Ara"/>
    <s v="D"/>
    <n v="0.5"/>
    <n v="5.97"/>
    <n v="29.849999999999998"/>
    <x v="2"/>
    <x v="2"/>
    <x v="1"/>
  </r>
  <r>
    <x v="402"/>
    <x v="237"/>
    <s v="88167-57964-PH"/>
    <s v="R-M-0.5"/>
    <n v="3"/>
    <x v="394"/>
    <s v=""/>
    <x v="0"/>
    <s v="Rob"/>
    <s v="M"/>
    <n v="0.5"/>
    <n v="5.97"/>
    <n v="17.91"/>
    <x v="0"/>
    <x v="0"/>
    <x v="1"/>
  </r>
  <r>
    <x v="403"/>
    <x v="351"/>
    <s v="16106-36039-QS"/>
    <s v="E-L-0.5"/>
    <n v="3"/>
    <x v="395"/>
    <s v="ydombrellbs@dedecms.com"/>
    <x v="0"/>
    <s v="Exc"/>
    <s v="L"/>
    <n v="0.5"/>
    <n v="8.91"/>
    <n v="26.73"/>
    <x v="1"/>
    <x v="1"/>
    <x v="0"/>
  </r>
  <r>
    <x v="404"/>
    <x v="352"/>
    <s v="98921-82417-GN"/>
    <s v="R-D-1"/>
    <n v="2"/>
    <x v="396"/>
    <s v="adarthbt@t.co"/>
    <x v="0"/>
    <s v="Rob"/>
    <s v="D"/>
    <n v="1"/>
    <n v="8.9499999999999993"/>
    <n v="17.899999999999999"/>
    <x v="0"/>
    <x v="2"/>
    <x v="1"/>
  </r>
  <r>
    <x v="405"/>
    <x v="102"/>
    <s v="55265-75151-AK"/>
    <s v="R-L-0.2"/>
    <n v="4"/>
    <x v="397"/>
    <s v="mdarrigoebu@hud.gov"/>
    <x v="1"/>
    <s v="Rob"/>
    <s v="L"/>
    <n v="0.2"/>
    <n v="3.5849999999999995"/>
    <n v="14.339999999999998"/>
    <x v="0"/>
    <x v="1"/>
    <x v="0"/>
  </r>
  <r>
    <x v="406"/>
    <x v="353"/>
    <s v="47386-50743-FG"/>
    <s v="A-M-2.5"/>
    <n v="3"/>
    <x v="398"/>
    <s v=""/>
    <x v="0"/>
    <s v="Ara"/>
    <s v="M"/>
    <n v="2.5"/>
    <n v="25.874999999999996"/>
    <n v="77.624999999999986"/>
    <x v="2"/>
    <x v="0"/>
    <x v="0"/>
  </r>
  <r>
    <x v="407"/>
    <x v="354"/>
    <s v="32622-54551-UC"/>
    <s v="R-L-1"/>
    <n v="5"/>
    <x v="399"/>
    <s v="mackrillbw@bandcamp.com"/>
    <x v="0"/>
    <s v="Rob"/>
    <s v="L"/>
    <n v="1"/>
    <n v="11.95"/>
    <n v="59.75"/>
    <x v="0"/>
    <x v="1"/>
    <x v="1"/>
  </r>
  <r>
    <x v="408"/>
    <x v="135"/>
    <s v="16880-78077-FB"/>
    <s v="A-L-1"/>
    <n v="6"/>
    <x v="347"/>
    <s v="tfarraac@behance.net"/>
    <x v="0"/>
    <s v="Ara"/>
    <s v="L"/>
    <n v="1"/>
    <n v="12.95"/>
    <n v="77.699999999999989"/>
    <x v="2"/>
    <x v="1"/>
    <x v="1"/>
  </r>
  <r>
    <x v="409"/>
    <x v="343"/>
    <s v="48419-02347-XP"/>
    <s v="R-D-0.2"/>
    <n v="2"/>
    <x v="400"/>
    <s v="mkippenby@dion.ne.jp"/>
    <x v="0"/>
    <s v="Rob"/>
    <s v="D"/>
    <n v="0.2"/>
    <n v="2.6849999999999996"/>
    <n v="5.3699999999999992"/>
    <x v="0"/>
    <x v="2"/>
    <x v="0"/>
  </r>
  <r>
    <x v="410"/>
    <x v="89"/>
    <s v="14121-20527-OJ"/>
    <s v="E-D-2.5"/>
    <n v="3"/>
    <x v="401"/>
    <s v="wransonbz@ted.com"/>
    <x v="1"/>
    <s v="Exc"/>
    <s v="D"/>
    <n v="2.5"/>
    <n v="27.945"/>
    <n v="83.835000000000008"/>
    <x v="1"/>
    <x v="2"/>
    <x v="0"/>
  </r>
  <r>
    <x v="411"/>
    <x v="355"/>
    <s v="53486-73919-BQ"/>
    <s v="A-M-1"/>
    <n v="2"/>
    <x v="402"/>
    <s v=""/>
    <x v="0"/>
    <s v="Ara"/>
    <s v="M"/>
    <n v="1"/>
    <n v="11.25"/>
    <n v="22.5"/>
    <x v="2"/>
    <x v="0"/>
    <x v="1"/>
  </r>
  <r>
    <x v="412"/>
    <x v="204"/>
    <s v="21889-94615-WT"/>
    <s v="L-M-2.5"/>
    <n v="6"/>
    <x v="403"/>
    <s v="lrignoldc1@miibeian.gov.cn"/>
    <x v="0"/>
    <s v="Lib"/>
    <s v="M"/>
    <n v="2.5"/>
    <n v="33.464999999999996"/>
    <n v="200.78999999999996"/>
    <x v="3"/>
    <x v="0"/>
    <x v="0"/>
  </r>
  <r>
    <x v="413"/>
    <x v="356"/>
    <s v="87726-16941-QW"/>
    <s v="A-M-1"/>
    <n v="6"/>
    <x v="404"/>
    <s v=""/>
    <x v="0"/>
    <s v="Ara"/>
    <s v="M"/>
    <n v="1"/>
    <n v="11.25"/>
    <n v="67.5"/>
    <x v="2"/>
    <x v="0"/>
    <x v="1"/>
  </r>
  <r>
    <x v="414"/>
    <x v="357"/>
    <s v="03677-09134-BC"/>
    <s v="E-M-0.5"/>
    <n v="1"/>
    <x v="405"/>
    <s v="crowthornc3@msn.com"/>
    <x v="0"/>
    <s v="Exc"/>
    <s v="M"/>
    <n v="0.5"/>
    <n v="8.25"/>
    <n v="8.25"/>
    <x v="1"/>
    <x v="0"/>
    <x v="1"/>
  </r>
  <r>
    <x v="415"/>
    <x v="300"/>
    <s v="93224-71517-WV"/>
    <s v="L-L-0.2"/>
    <n v="2"/>
    <x v="406"/>
    <s v="orylandc4@deviantart.com"/>
    <x v="0"/>
    <s v="Lib"/>
    <s v="L"/>
    <n v="0.2"/>
    <n v="4.7549999999999999"/>
    <n v="9.51"/>
    <x v="3"/>
    <x v="1"/>
    <x v="0"/>
  </r>
  <r>
    <x v="416"/>
    <x v="358"/>
    <s v="76263-95145-GJ"/>
    <s v="L-D-2.5"/>
    <n v="1"/>
    <x v="407"/>
    <s v=""/>
    <x v="0"/>
    <s v="Lib"/>
    <s v="D"/>
    <n v="2.5"/>
    <n v="29.784999999999997"/>
    <n v="29.784999999999997"/>
    <x v="3"/>
    <x v="2"/>
    <x v="1"/>
  </r>
  <r>
    <x v="417"/>
    <x v="161"/>
    <s v="68555-89840-GZ"/>
    <s v="L-D-0.5"/>
    <n v="2"/>
    <x v="408"/>
    <s v="msesonck@census.gov"/>
    <x v="0"/>
    <s v="Lib"/>
    <s v="D"/>
    <n v="0.5"/>
    <n v="7.77"/>
    <n v="15.54"/>
    <x v="3"/>
    <x v="2"/>
    <x v="1"/>
  </r>
  <r>
    <x v="418"/>
    <x v="129"/>
    <s v="70624-19112-AO"/>
    <s v="E-L-0.5"/>
    <n v="4"/>
    <x v="409"/>
    <s v="craglessc7@webmd.com"/>
    <x v="1"/>
    <s v="Exc"/>
    <s v="L"/>
    <n v="0.5"/>
    <n v="8.91"/>
    <n v="35.64"/>
    <x v="1"/>
    <x v="1"/>
    <x v="1"/>
  </r>
  <r>
    <x v="419"/>
    <x v="359"/>
    <s v="58916-61837-QH"/>
    <s v="A-M-2.5"/>
    <n v="4"/>
    <x v="410"/>
    <s v="fhollowsc8@blogtalkradio.com"/>
    <x v="0"/>
    <s v="Ara"/>
    <s v="M"/>
    <n v="2.5"/>
    <n v="25.874999999999996"/>
    <n v="103.49999999999999"/>
    <x v="2"/>
    <x v="0"/>
    <x v="0"/>
  </r>
  <r>
    <x v="420"/>
    <x v="360"/>
    <s v="89292-52335-YZ"/>
    <s v="E-D-1"/>
    <n v="3"/>
    <x v="411"/>
    <s v="llathleiffc9@nationalgeographic.com"/>
    <x v="1"/>
    <s v="Exc"/>
    <s v="D"/>
    <n v="1"/>
    <n v="12.15"/>
    <n v="36.450000000000003"/>
    <x v="1"/>
    <x v="2"/>
    <x v="0"/>
  </r>
  <r>
    <x v="421"/>
    <x v="361"/>
    <s v="77284-34297-YY"/>
    <s v="R-L-0.5"/>
    <n v="5"/>
    <x v="412"/>
    <s v="kheadsca@jalbum.net"/>
    <x v="0"/>
    <s v="Rob"/>
    <s v="L"/>
    <n v="0.5"/>
    <n v="7.169999999999999"/>
    <n v="35.849999999999994"/>
    <x v="0"/>
    <x v="1"/>
    <x v="1"/>
  </r>
  <r>
    <x v="422"/>
    <x v="362"/>
    <s v="50449-80974-BZ"/>
    <s v="E-L-0.2"/>
    <n v="5"/>
    <x v="413"/>
    <s v="tbownecb@unicef.org"/>
    <x v="1"/>
    <s v="Exc"/>
    <s v="L"/>
    <n v="0.2"/>
    <n v="4.4550000000000001"/>
    <n v="22.274999999999999"/>
    <x v="1"/>
    <x v="1"/>
    <x v="0"/>
  </r>
  <r>
    <x v="423"/>
    <x v="363"/>
    <s v="08120-16183-AW"/>
    <s v="E-M-0.2"/>
    <n v="6"/>
    <x v="414"/>
    <s v="rjacquemardcc@acquirethisname.com"/>
    <x v="1"/>
    <s v="Exc"/>
    <s v="M"/>
    <n v="0.2"/>
    <n v="4.125"/>
    <n v="24.75"/>
    <x v="1"/>
    <x v="0"/>
    <x v="1"/>
  </r>
  <r>
    <x v="424"/>
    <x v="364"/>
    <s v="68044-89277-ML"/>
    <s v="L-M-2.5"/>
    <n v="2"/>
    <x v="415"/>
    <s v="kwarmancd@printfriendly.com"/>
    <x v="1"/>
    <s v="Lib"/>
    <s v="M"/>
    <n v="2.5"/>
    <n v="33.464999999999996"/>
    <n v="66.929999999999993"/>
    <x v="3"/>
    <x v="0"/>
    <x v="0"/>
  </r>
  <r>
    <x v="425"/>
    <x v="85"/>
    <s v="71364-35210-HS"/>
    <s v="L-M-0.5"/>
    <n v="1"/>
    <x v="416"/>
    <s v="wcholomince@about.com"/>
    <x v="2"/>
    <s v="Lib"/>
    <s v="M"/>
    <n v="0.5"/>
    <n v="8.73"/>
    <n v="8.73"/>
    <x v="3"/>
    <x v="0"/>
    <x v="0"/>
  </r>
  <r>
    <x v="426"/>
    <x v="365"/>
    <s v="37177-68797-ON"/>
    <s v="R-M-0.5"/>
    <n v="3"/>
    <x v="417"/>
    <s v="abraidmancf@census.gov"/>
    <x v="0"/>
    <s v="Rob"/>
    <s v="M"/>
    <n v="0.5"/>
    <n v="5.97"/>
    <n v="17.91"/>
    <x v="0"/>
    <x v="0"/>
    <x v="1"/>
  </r>
  <r>
    <x v="427"/>
    <x v="366"/>
    <s v="60308-06944-GS"/>
    <s v="R-L-0.5"/>
    <n v="1"/>
    <x v="418"/>
    <s v="pdurbancg@symantec.com"/>
    <x v="1"/>
    <s v="Rob"/>
    <s v="L"/>
    <n v="0.5"/>
    <n v="7.169999999999999"/>
    <n v="7.169999999999999"/>
    <x v="0"/>
    <x v="1"/>
    <x v="1"/>
  </r>
  <r>
    <x v="428"/>
    <x v="367"/>
    <s v="49888-39458-PF"/>
    <s v="R-D-0.2"/>
    <n v="2"/>
    <x v="419"/>
    <s v="aharroldch@miibeian.gov.cn"/>
    <x v="0"/>
    <s v="Rob"/>
    <s v="D"/>
    <n v="0.2"/>
    <n v="2.6849999999999996"/>
    <n v="5.3699999999999992"/>
    <x v="0"/>
    <x v="2"/>
    <x v="1"/>
  </r>
  <r>
    <x v="429"/>
    <x v="142"/>
    <s v="60748-46813-DZ"/>
    <s v="L-L-0.2"/>
    <n v="5"/>
    <x v="420"/>
    <s v="spamphilonci@mlb.com"/>
    <x v="1"/>
    <s v="Lib"/>
    <s v="L"/>
    <n v="0.2"/>
    <n v="4.7549999999999999"/>
    <n v="23.774999999999999"/>
    <x v="3"/>
    <x v="1"/>
    <x v="1"/>
  </r>
  <r>
    <x v="430"/>
    <x v="368"/>
    <s v="16385-11286-NX"/>
    <s v="R-D-2.5"/>
    <n v="2"/>
    <x v="421"/>
    <s v="mspurdencj@exblog.jp"/>
    <x v="0"/>
    <s v="Rob"/>
    <s v="D"/>
    <n v="2.5"/>
    <n v="20.584999999999997"/>
    <n v="41.169999999999995"/>
    <x v="0"/>
    <x v="2"/>
    <x v="0"/>
  </r>
  <r>
    <x v="431"/>
    <x v="31"/>
    <s v="68555-89840-GZ"/>
    <s v="A-L-0.2"/>
    <n v="3"/>
    <x v="408"/>
    <s v="msesonck@census.gov"/>
    <x v="0"/>
    <s v="Ara"/>
    <s v="L"/>
    <n v="0.2"/>
    <n v="3.8849999999999998"/>
    <n v="11.654999999999999"/>
    <x v="2"/>
    <x v="1"/>
    <x v="1"/>
  </r>
  <r>
    <x v="432"/>
    <x v="369"/>
    <s v="72164-90254-EJ"/>
    <s v="L-L-0.5"/>
    <n v="4"/>
    <x v="422"/>
    <s v="npirronecl@weibo.com"/>
    <x v="0"/>
    <s v="Lib"/>
    <s v="L"/>
    <n v="0.5"/>
    <n v="9.51"/>
    <n v="38.04"/>
    <x v="3"/>
    <x v="1"/>
    <x v="1"/>
  </r>
  <r>
    <x v="433"/>
    <x v="370"/>
    <s v="67010-92988-CT"/>
    <s v="R-D-2.5"/>
    <n v="4"/>
    <x v="423"/>
    <s v="rcawleycm@yellowbook.com"/>
    <x v="1"/>
    <s v="Rob"/>
    <s v="D"/>
    <n v="2.5"/>
    <n v="20.584999999999997"/>
    <n v="82.339999999999989"/>
    <x v="0"/>
    <x v="2"/>
    <x v="0"/>
  </r>
  <r>
    <x v="434"/>
    <x v="371"/>
    <s v="15776-91507-GT"/>
    <s v="L-L-0.2"/>
    <n v="2"/>
    <x v="424"/>
    <s v="sbarribalcn@microsoft.com"/>
    <x v="1"/>
    <s v="Lib"/>
    <s v="L"/>
    <n v="0.2"/>
    <n v="4.7549999999999999"/>
    <n v="9.51"/>
    <x v="3"/>
    <x v="1"/>
    <x v="0"/>
  </r>
  <r>
    <x v="435"/>
    <x v="372"/>
    <s v="23473-41001-CD"/>
    <s v="R-D-2.5"/>
    <n v="2"/>
    <x v="425"/>
    <s v="aadamidesco@bizjournals.com"/>
    <x v="2"/>
    <s v="Rob"/>
    <s v="D"/>
    <n v="2.5"/>
    <n v="20.584999999999997"/>
    <n v="41.169999999999995"/>
    <x v="0"/>
    <x v="2"/>
    <x v="1"/>
  </r>
  <r>
    <x v="436"/>
    <x v="373"/>
    <s v="23446-47798-ID"/>
    <s v="L-L-0.5"/>
    <n v="5"/>
    <x v="426"/>
    <s v="cthowescp@craigslist.org"/>
    <x v="0"/>
    <s v="Lib"/>
    <s v="L"/>
    <n v="0.5"/>
    <n v="9.51"/>
    <n v="47.55"/>
    <x v="3"/>
    <x v="1"/>
    <x v="1"/>
  </r>
  <r>
    <x v="437"/>
    <x v="374"/>
    <s v="28327-84469-ND"/>
    <s v="A-M-1"/>
    <n v="4"/>
    <x v="427"/>
    <s v="rwillowaycq@admin.ch"/>
    <x v="0"/>
    <s v="Ara"/>
    <s v="M"/>
    <n v="1"/>
    <n v="11.25"/>
    <n v="45"/>
    <x v="2"/>
    <x v="0"/>
    <x v="1"/>
  </r>
  <r>
    <x v="438"/>
    <x v="319"/>
    <s v="42466-87067-DT"/>
    <s v="L-L-0.2"/>
    <n v="5"/>
    <x v="428"/>
    <s v="aelwincr@privacy.gov.au"/>
    <x v="0"/>
    <s v="Lib"/>
    <s v="L"/>
    <n v="0.2"/>
    <n v="4.7549999999999999"/>
    <n v="23.774999999999999"/>
    <x v="3"/>
    <x v="1"/>
    <x v="1"/>
  </r>
  <r>
    <x v="439"/>
    <x v="375"/>
    <s v="62246-99443-HF"/>
    <s v="R-D-0.5"/>
    <n v="3"/>
    <x v="429"/>
    <s v="abilbrookcs@booking.com"/>
    <x v="1"/>
    <s v="Rob"/>
    <s v="D"/>
    <n v="0.5"/>
    <n v="5.3699999999999992"/>
    <n v="16.11"/>
    <x v="0"/>
    <x v="2"/>
    <x v="0"/>
  </r>
  <r>
    <x v="440"/>
    <x v="376"/>
    <s v="99869-55718-UU"/>
    <s v="R-D-0.2"/>
    <n v="4"/>
    <x v="430"/>
    <s v="rmckallct@sakura.ne.jp"/>
    <x v="2"/>
    <s v="Rob"/>
    <s v="D"/>
    <n v="0.2"/>
    <n v="2.6849999999999996"/>
    <n v="10.739999999999998"/>
    <x v="0"/>
    <x v="2"/>
    <x v="0"/>
  </r>
  <r>
    <x v="441"/>
    <x v="377"/>
    <s v="77421-46059-RY"/>
    <s v="A-D-1"/>
    <n v="5"/>
    <x v="431"/>
    <s v="bdailecu@vistaprint.com"/>
    <x v="0"/>
    <s v="Ara"/>
    <s v="D"/>
    <n v="1"/>
    <n v="9.9499999999999993"/>
    <n v="49.75"/>
    <x v="2"/>
    <x v="2"/>
    <x v="0"/>
  </r>
  <r>
    <x v="442"/>
    <x v="378"/>
    <s v="49894-06550-OQ"/>
    <s v="E-M-1"/>
    <n v="2"/>
    <x v="432"/>
    <s v="atrehernecv@state.tx.us"/>
    <x v="1"/>
    <s v="Exc"/>
    <s v="M"/>
    <n v="1"/>
    <n v="13.75"/>
    <n v="27.5"/>
    <x v="1"/>
    <x v="0"/>
    <x v="1"/>
  </r>
  <r>
    <x v="443"/>
    <x v="277"/>
    <s v="72028-63343-SU"/>
    <s v="L-D-2.5"/>
    <n v="4"/>
    <x v="433"/>
    <s v="abrentnallcw@biglobe.ne.jp"/>
    <x v="2"/>
    <s v="Lib"/>
    <s v="D"/>
    <n v="2.5"/>
    <n v="29.784999999999997"/>
    <n v="119.13999999999999"/>
    <x v="3"/>
    <x v="2"/>
    <x v="1"/>
  </r>
  <r>
    <x v="444"/>
    <x v="379"/>
    <s v="10074-20104-NN"/>
    <s v="R-D-2.5"/>
    <n v="1"/>
    <x v="434"/>
    <s v="ddrinkallcx@psu.edu"/>
    <x v="0"/>
    <s v="Rob"/>
    <s v="D"/>
    <n v="2.5"/>
    <n v="20.584999999999997"/>
    <n v="20.584999999999997"/>
    <x v="0"/>
    <x v="2"/>
    <x v="0"/>
  </r>
  <r>
    <x v="445"/>
    <x v="86"/>
    <s v="71769-10219-IM"/>
    <s v="A-D-0.2"/>
    <n v="3"/>
    <x v="435"/>
    <s v="dkornelcy@cyberchimps.com"/>
    <x v="0"/>
    <s v="Ara"/>
    <s v="D"/>
    <n v="0.2"/>
    <n v="2.9849999999999999"/>
    <n v="8.9550000000000001"/>
    <x v="2"/>
    <x v="2"/>
    <x v="0"/>
  </r>
  <r>
    <x v="446"/>
    <x v="380"/>
    <s v="22221-71106-JD"/>
    <s v="A-D-0.5"/>
    <n v="1"/>
    <x v="436"/>
    <s v="rlequeuxcz@newyorker.com"/>
    <x v="0"/>
    <s v="Ara"/>
    <s v="D"/>
    <n v="0.5"/>
    <n v="5.97"/>
    <n v="5.97"/>
    <x v="2"/>
    <x v="2"/>
    <x v="1"/>
  </r>
  <r>
    <x v="447"/>
    <x v="381"/>
    <s v="99735-44927-OL"/>
    <s v="E-M-1"/>
    <n v="3"/>
    <x v="437"/>
    <s v="jmccaulld0@parallels.com"/>
    <x v="0"/>
    <s v="Exc"/>
    <s v="M"/>
    <n v="1"/>
    <n v="13.75"/>
    <n v="41.25"/>
    <x v="1"/>
    <x v="0"/>
    <x v="0"/>
  </r>
  <r>
    <x v="448"/>
    <x v="382"/>
    <s v="27132-68907-RC"/>
    <s v="E-L-0.2"/>
    <n v="5"/>
    <x v="438"/>
    <s v="abrashda@plala.or.jp"/>
    <x v="0"/>
    <s v="Exc"/>
    <s v="L"/>
    <n v="0.2"/>
    <n v="4.4550000000000001"/>
    <n v="22.274999999999999"/>
    <x v="1"/>
    <x v="1"/>
    <x v="0"/>
  </r>
  <r>
    <x v="449"/>
    <x v="11"/>
    <s v="90440-62727-HI"/>
    <s v="A-M-0.5"/>
    <n v="1"/>
    <x v="439"/>
    <s v="ahutchinsond2@imgur.com"/>
    <x v="0"/>
    <s v="Ara"/>
    <s v="M"/>
    <n v="0.5"/>
    <n v="6.75"/>
    <n v="6.75"/>
    <x v="2"/>
    <x v="0"/>
    <x v="0"/>
  </r>
  <r>
    <x v="450"/>
    <x v="167"/>
    <s v="36769-16558-SX"/>
    <s v="L-M-2.5"/>
    <n v="4"/>
    <x v="440"/>
    <s v=""/>
    <x v="0"/>
    <s v="Lib"/>
    <s v="M"/>
    <n v="2.5"/>
    <n v="33.464999999999996"/>
    <n v="133.85999999999999"/>
    <x v="3"/>
    <x v="0"/>
    <x v="0"/>
  </r>
  <r>
    <x v="451"/>
    <x v="383"/>
    <s v="10138-31681-SD"/>
    <s v="A-D-0.2"/>
    <n v="2"/>
    <x v="441"/>
    <s v="rdriversd4@hexun.com"/>
    <x v="0"/>
    <s v="Ara"/>
    <s v="D"/>
    <n v="0.2"/>
    <n v="2.9849999999999999"/>
    <n v="5.97"/>
    <x v="2"/>
    <x v="2"/>
    <x v="1"/>
  </r>
  <r>
    <x v="452"/>
    <x v="18"/>
    <s v="24669-76297-SF"/>
    <s v="A-L-1"/>
    <n v="2"/>
    <x v="442"/>
    <s v="hzeald5@google.de"/>
    <x v="0"/>
    <s v="Ara"/>
    <s v="L"/>
    <n v="1"/>
    <n v="12.95"/>
    <n v="25.9"/>
    <x v="2"/>
    <x v="1"/>
    <x v="1"/>
  </r>
  <r>
    <x v="453"/>
    <x v="84"/>
    <s v="78050-20355-DI"/>
    <s v="E-M-2.5"/>
    <n v="1"/>
    <x v="443"/>
    <s v="gsmallcombed6@ucla.edu"/>
    <x v="1"/>
    <s v="Exc"/>
    <s v="M"/>
    <n v="2.5"/>
    <n v="31.624999999999996"/>
    <n v="31.624999999999996"/>
    <x v="1"/>
    <x v="0"/>
    <x v="0"/>
  </r>
  <r>
    <x v="454"/>
    <x v="384"/>
    <s v="79825-17822-UH"/>
    <s v="L-M-0.2"/>
    <n v="2"/>
    <x v="444"/>
    <s v="ddibleyd7@feedburner.com"/>
    <x v="0"/>
    <s v="Lib"/>
    <s v="M"/>
    <n v="0.2"/>
    <n v="4.3650000000000002"/>
    <n v="8.73"/>
    <x v="3"/>
    <x v="0"/>
    <x v="1"/>
  </r>
  <r>
    <x v="455"/>
    <x v="385"/>
    <s v="03990-21586-MQ"/>
    <s v="E-L-0.2"/>
    <n v="6"/>
    <x v="445"/>
    <s v="gdimitrioud8@chronoengine.com"/>
    <x v="0"/>
    <s v="Exc"/>
    <s v="L"/>
    <n v="0.2"/>
    <n v="4.4550000000000001"/>
    <n v="26.73"/>
    <x v="1"/>
    <x v="1"/>
    <x v="0"/>
  </r>
  <r>
    <x v="456"/>
    <x v="386"/>
    <s v="27493-46921-TZ"/>
    <s v="L-M-0.2"/>
    <n v="6"/>
    <x v="446"/>
    <s v="fflanagand9@woothemes.com"/>
    <x v="0"/>
    <s v="Lib"/>
    <s v="M"/>
    <n v="0.2"/>
    <n v="4.3650000000000002"/>
    <n v="26.19"/>
    <x v="3"/>
    <x v="0"/>
    <x v="1"/>
  </r>
  <r>
    <x v="457"/>
    <x v="387"/>
    <s v="27132-68907-RC"/>
    <s v="R-D-1"/>
    <n v="6"/>
    <x v="438"/>
    <s v="abrashda@plala.or.jp"/>
    <x v="0"/>
    <s v="Rob"/>
    <s v="D"/>
    <n v="1"/>
    <n v="8.9499999999999993"/>
    <n v="53.699999999999996"/>
    <x v="0"/>
    <x v="2"/>
    <x v="0"/>
  </r>
  <r>
    <x v="457"/>
    <x v="387"/>
    <s v="27132-68907-RC"/>
    <s v="E-M-2.5"/>
    <n v="4"/>
    <x v="438"/>
    <s v="abrashda@plala.or.jp"/>
    <x v="0"/>
    <s v="Exc"/>
    <s v="M"/>
    <n v="2.5"/>
    <n v="31.624999999999996"/>
    <n v="126.49999999999999"/>
    <x v="1"/>
    <x v="0"/>
    <x v="0"/>
  </r>
  <r>
    <x v="457"/>
    <x v="387"/>
    <s v="27132-68907-RC"/>
    <s v="E-M-0.2"/>
    <n v="1"/>
    <x v="438"/>
    <s v="abrashda@plala.or.jp"/>
    <x v="0"/>
    <s v="Exc"/>
    <s v="M"/>
    <n v="0.2"/>
    <n v="4.125"/>
    <n v="4.125"/>
    <x v="1"/>
    <x v="0"/>
    <x v="0"/>
  </r>
  <r>
    <x v="458"/>
    <x v="388"/>
    <s v="58816-74064-TF"/>
    <s v="R-L-1"/>
    <n v="2"/>
    <x v="447"/>
    <s v="nizhakovdd@aol.com"/>
    <x v="2"/>
    <s v="Rob"/>
    <s v="L"/>
    <n v="1"/>
    <n v="11.95"/>
    <n v="23.9"/>
    <x v="0"/>
    <x v="1"/>
    <x v="1"/>
  </r>
  <r>
    <x v="459"/>
    <x v="389"/>
    <s v="09818-59895-EH"/>
    <s v="E-D-2.5"/>
    <n v="5"/>
    <x v="448"/>
    <s v="skeetsde@answers.com"/>
    <x v="0"/>
    <s v="Exc"/>
    <s v="D"/>
    <n v="2.5"/>
    <n v="27.945"/>
    <n v="139.72499999999999"/>
    <x v="1"/>
    <x v="2"/>
    <x v="0"/>
  </r>
  <r>
    <x v="460"/>
    <x v="229"/>
    <s v="06488-46303-IZ"/>
    <s v="L-D-2.5"/>
    <n v="2"/>
    <x v="449"/>
    <s v=""/>
    <x v="0"/>
    <s v="Lib"/>
    <s v="D"/>
    <n v="2.5"/>
    <n v="29.784999999999997"/>
    <n v="59.569999999999993"/>
    <x v="3"/>
    <x v="2"/>
    <x v="0"/>
  </r>
  <r>
    <x v="461"/>
    <x v="390"/>
    <s v="93046-67561-AY"/>
    <s v="L-L-0.5"/>
    <n v="6"/>
    <x v="450"/>
    <s v="kcakedg@huffingtonpost.com"/>
    <x v="0"/>
    <s v="Lib"/>
    <s v="L"/>
    <n v="0.5"/>
    <n v="9.51"/>
    <n v="57.06"/>
    <x v="3"/>
    <x v="1"/>
    <x v="1"/>
  </r>
  <r>
    <x v="462"/>
    <x v="391"/>
    <s v="68946-40750-LK"/>
    <s v="R-L-0.2"/>
    <n v="6"/>
    <x v="451"/>
    <s v="mhanseddh@instagram.com"/>
    <x v="1"/>
    <s v="Rob"/>
    <s v="L"/>
    <n v="0.2"/>
    <n v="3.5849999999999995"/>
    <n v="21.509999999999998"/>
    <x v="0"/>
    <x v="1"/>
    <x v="0"/>
  </r>
  <r>
    <x v="463"/>
    <x v="117"/>
    <s v="38387-64959-WW"/>
    <s v="L-M-0.5"/>
    <n v="6"/>
    <x v="452"/>
    <s v="fkienleindi@trellian.com"/>
    <x v="1"/>
    <s v="Lib"/>
    <s v="M"/>
    <n v="0.5"/>
    <n v="8.73"/>
    <n v="52.38"/>
    <x v="3"/>
    <x v="0"/>
    <x v="0"/>
  </r>
  <r>
    <x v="464"/>
    <x v="392"/>
    <s v="48418-60841-CC"/>
    <s v="E-D-1"/>
    <n v="6"/>
    <x v="453"/>
    <s v="kegglestonedj@sphinn.com"/>
    <x v="1"/>
    <s v="Exc"/>
    <s v="D"/>
    <n v="1"/>
    <n v="12.15"/>
    <n v="72.900000000000006"/>
    <x v="1"/>
    <x v="2"/>
    <x v="1"/>
  </r>
  <r>
    <x v="465"/>
    <x v="393"/>
    <s v="13736-92418-JS"/>
    <s v="R-M-0.2"/>
    <n v="5"/>
    <x v="454"/>
    <s v="bsemkinsdk@unc.edu"/>
    <x v="1"/>
    <s v="Rob"/>
    <s v="M"/>
    <n v="0.2"/>
    <n v="2.9849999999999999"/>
    <n v="14.924999999999999"/>
    <x v="0"/>
    <x v="0"/>
    <x v="0"/>
  </r>
  <r>
    <x v="466"/>
    <x v="394"/>
    <s v="33000-22405-LO"/>
    <s v="L-L-1"/>
    <n v="6"/>
    <x v="455"/>
    <s v="slorenzettidl@is.gd"/>
    <x v="0"/>
    <s v="Lib"/>
    <s v="L"/>
    <n v="1"/>
    <n v="15.85"/>
    <n v="95.1"/>
    <x v="3"/>
    <x v="1"/>
    <x v="1"/>
  </r>
  <r>
    <x v="467"/>
    <x v="137"/>
    <s v="46959-60474-LT"/>
    <s v="L-D-0.5"/>
    <n v="2"/>
    <x v="456"/>
    <s v="bgiannazzidm@apple.com"/>
    <x v="0"/>
    <s v="Lib"/>
    <s v="D"/>
    <n v="0.5"/>
    <n v="7.77"/>
    <n v="15.54"/>
    <x v="3"/>
    <x v="2"/>
    <x v="1"/>
  </r>
  <r>
    <x v="468"/>
    <x v="395"/>
    <s v="73431-39823-UP"/>
    <s v="L-D-0.2"/>
    <n v="6"/>
    <x v="457"/>
    <s v=""/>
    <x v="0"/>
    <s v="Lib"/>
    <s v="D"/>
    <n v="0.2"/>
    <n v="3.8849999999999998"/>
    <n v="23.31"/>
    <x v="3"/>
    <x v="2"/>
    <x v="1"/>
  </r>
  <r>
    <x v="469"/>
    <x v="396"/>
    <s v="90993-98984-JK"/>
    <s v="E-M-0.2"/>
    <n v="1"/>
    <x v="458"/>
    <s v="ulethbrigdo@hc360.com"/>
    <x v="0"/>
    <s v="Exc"/>
    <s v="M"/>
    <n v="0.2"/>
    <n v="4.125"/>
    <n v="4.125"/>
    <x v="1"/>
    <x v="0"/>
    <x v="0"/>
  </r>
  <r>
    <x v="470"/>
    <x v="189"/>
    <s v="06552-04430-AG"/>
    <s v="R-M-0.5"/>
    <n v="6"/>
    <x v="459"/>
    <s v="sfarnishdp@dmoz.org"/>
    <x v="2"/>
    <s v="Rob"/>
    <s v="M"/>
    <n v="0.5"/>
    <n v="5.97"/>
    <n v="35.82"/>
    <x v="0"/>
    <x v="0"/>
    <x v="1"/>
  </r>
  <r>
    <x v="471"/>
    <x v="8"/>
    <s v="54597-57004-QM"/>
    <s v="L-L-1"/>
    <n v="2"/>
    <x v="460"/>
    <s v="fjecockdq@unicef.org"/>
    <x v="0"/>
    <s v="Lib"/>
    <s v="L"/>
    <n v="1"/>
    <n v="15.85"/>
    <n v="31.7"/>
    <x v="3"/>
    <x v="1"/>
    <x v="1"/>
  </r>
  <r>
    <x v="472"/>
    <x v="397"/>
    <s v="50238-24377-ZS"/>
    <s v="L-L-1"/>
    <n v="5"/>
    <x v="461"/>
    <s v=""/>
    <x v="0"/>
    <s v="Lib"/>
    <s v="L"/>
    <n v="1"/>
    <n v="15.85"/>
    <n v="79.25"/>
    <x v="3"/>
    <x v="1"/>
    <x v="0"/>
  </r>
  <r>
    <x v="473"/>
    <x v="398"/>
    <s v="60370-41934-IF"/>
    <s v="E-D-0.2"/>
    <n v="3"/>
    <x v="462"/>
    <s v="hpallisterds@ning.com"/>
    <x v="0"/>
    <s v="Exc"/>
    <s v="D"/>
    <n v="0.2"/>
    <n v="3.645"/>
    <n v="10.935"/>
    <x v="1"/>
    <x v="2"/>
    <x v="1"/>
  </r>
  <r>
    <x v="474"/>
    <x v="399"/>
    <s v="06899-54551-EH"/>
    <s v="A-D-1"/>
    <n v="4"/>
    <x v="463"/>
    <s v="cmershdt@drupal.org"/>
    <x v="1"/>
    <s v="Ara"/>
    <s v="D"/>
    <n v="1"/>
    <n v="9.9499999999999993"/>
    <n v="39.799999999999997"/>
    <x v="2"/>
    <x v="2"/>
    <x v="1"/>
  </r>
  <r>
    <x v="475"/>
    <x v="400"/>
    <s v="66458-91190-YC"/>
    <s v="R-M-1"/>
    <n v="5"/>
    <x v="464"/>
    <s v="murione5@alexa.com"/>
    <x v="1"/>
    <s v="Rob"/>
    <s v="M"/>
    <n v="1"/>
    <n v="9.9499999999999993"/>
    <n v="49.75"/>
    <x v="0"/>
    <x v="0"/>
    <x v="0"/>
  </r>
  <r>
    <x v="476"/>
    <x v="401"/>
    <s v="80463-43913-WZ"/>
    <s v="R-D-0.2"/>
    <n v="3"/>
    <x v="465"/>
    <s v=""/>
    <x v="1"/>
    <s v="Rob"/>
    <s v="D"/>
    <n v="0.2"/>
    <n v="2.6849999999999996"/>
    <n v="8.0549999999999997"/>
    <x v="0"/>
    <x v="2"/>
    <x v="0"/>
  </r>
  <r>
    <x v="477"/>
    <x v="402"/>
    <s v="67204-04870-LG"/>
    <s v="R-L-1"/>
    <n v="4"/>
    <x v="466"/>
    <s v=""/>
    <x v="0"/>
    <s v="Rob"/>
    <s v="L"/>
    <n v="1"/>
    <n v="11.95"/>
    <n v="47.8"/>
    <x v="0"/>
    <x v="1"/>
    <x v="1"/>
  </r>
  <r>
    <x v="478"/>
    <x v="6"/>
    <s v="22721-63196-UJ"/>
    <s v="R-M-0.2"/>
    <n v="4"/>
    <x v="467"/>
    <s v="gduckerdx@patch.com"/>
    <x v="2"/>
    <s v="Rob"/>
    <s v="M"/>
    <n v="0.2"/>
    <n v="2.9849999999999999"/>
    <n v="11.94"/>
    <x v="0"/>
    <x v="0"/>
    <x v="1"/>
  </r>
  <r>
    <x v="478"/>
    <x v="6"/>
    <s v="22721-63196-UJ"/>
    <s v="E-M-0.2"/>
    <n v="4"/>
    <x v="467"/>
    <s v="gduckerdx@patch.com"/>
    <x v="2"/>
    <s v="Exc"/>
    <s v="M"/>
    <n v="0.2"/>
    <n v="4.125"/>
    <n v="16.5"/>
    <x v="1"/>
    <x v="0"/>
    <x v="1"/>
  </r>
  <r>
    <x v="478"/>
    <x v="6"/>
    <s v="22721-63196-UJ"/>
    <s v="L-D-1"/>
    <n v="4"/>
    <x v="467"/>
    <s v="gduckerdx@patch.com"/>
    <x v="2"/>
    <s v="Lib"/>
    <s v="D"/>
    <n v="1"/>
    <n v="12.95"/>
    <n v="51.8"/>
    <x v="3"/>
    <x v="2"/>
    <x v="1"/>
  </r>
  <r>
    <x v="478"/>
    <x v="6"/>
    <s v="22721-63196-UJ"/>
    <s v="L-L-0.2"/>
    <n v="3"/>
    <x v="467"/>
    <s v="gduckerdx@patch.com"/>
    <x v="2"/>
    <s v="Lib"/>
    <s v="L"/>
    <n v="0.2"/>
    <n v="4.7549999999999999"/>
    <n v="14.265000000000001"/>
    <x v="3"/>
    <x v="1"/>
    <x v="1"/>
  </r>
  <r>
    <x v="479"/>
    <x v="403"/>
    <s v="55515-37571-RS"/>
    <s v="L-M-0.2"/>
    <n v="6"/>
    <x v="468"/>
    <s v="wstearleye1@census.gov"/>
    <x v="0"/>
    <s v="Lib"/>
    <s v="M"/>
    <n v="0.2"/>
    <n v="4.3650000000000002"/>
    <n v="26.19"/>
    <x v="3"/>
    <x v="0"/>
    <x v="1"/>
  </r>
  <r>
    <x v="480"/>
    <x v="404"/>
    <s v="25598-77476-CB"/>
    <s v="A-L-1"/>
    <n v="2"/>
    <x v="469"/>
    <s v="dwincere2@marriott.com"/>
    <x v="0"/>
    <s v="Ara"/>
    <s v="L"/>
    <n v="1"/>
    <n v="12.95"/>
    <n v="25.9"/>
    <x v="2"/>
    <x v="1"/>
    <x v="0"/>
  </r>
  <r>
    <x v="481"/>
    <x v="21"/>
    <s v="14888-85625-TM"/>
    <s v="A-L-2.5"/>
    <n v="3"/>
    <x v="470"/>
    <s v="plyfielde3@baidu.com"/>
    <x v="0"/>
    <s v="Ara"/>
    <s v="L"/>
    <n v="2.5"/>
    <n v="29.784999999999997"/>
    <n v="89.35499999999999"/>
    <x v="2"/>
    <x v="1"/>
    <x v="0"/>
  </r>
  <r>
    <x v="482"/>
    <x v="239"/>
    <s v="92793-68332-NR"/>
    <s v="L-D-0.5"/>
    <n v="6"/>
    <x v="471"/>
    <s v="hperrise4@studiopress.com"/>
    <x v="1"/>
    <s v="Lib"/>
    <s v="D"/>
    <n v="0.5"/>
    <n v="7.77"/>
    <n v="46.62"/>
    <x v="3"/>
    <x v="2"/>
    <x v="1"/>
  </r>
  <r>
    <x v="483"/>
    <x v="405"/>
    <s v="66458-91190-YC"/>
    <s v="A-D-1"/>
    <n v="3"/>
    <x v="464"/>
    <s v="murione5@alexa.com"/>
    <x v="1"/>
    <s v="Ara"/>
    <s v="D"/>
    <n v="1"/>
    <n v="9.9499999999999993"/>
    <n v="29.849999999999998"/>
    <x v="2"/>
    <x v="2"/>
    <x v="0"/>
  </r>
  <r>
    <x v="484"/>
    <x v="292"/>
    <s v="64439-27325-LG"/>
    <s v="R-L-0.2"/>
    <n v="3"/>
    <x v="472"/>
    <s v="ckide6@narod.ru"/>
    <x v="1"/>
    <s v="Rob"/>
    <s v="L"/>
    <n v="0.2"/>
    <n v="3.5849999999999995"/>
    <n v="10.754999999999999"/>
    <x v="0"/>
    <x v="1"/>
    <x v="0"/>
  </r>
  <r>
    <x v="485"/>
    <x v="117"/>
    <s v="78570-76770-LB"/>
    <s v="A-M-0.2"/>
    <n v="4"/>
    <x v="473"/>
    <s v="cbeinee7@xinhuanet.com"/>
    <x v="0"/>
    <s v="Ara"/>
    <s v="M"/>
    <n v="0.2"/>
    <n v="3.375"/>
    <n v="13.5"/>
    <x v="2"/>
    <x v="0"/>
    <x v="0"/>
  </r>
  <r>
    <x v="486"/>
    <x v="406"/>
    <s v="98661-69719-VI"/>
    <s v="L-L-1"/>
    <n v="3"/>
    <x v="474"/>
    <s v="cbakeupe8@globo.com"/>
    <x v="0"/>
    <s v="Lib"/>
    <s v="L"/>
    <n v="1"/>
    <n v="15.85"/>
    <n v="47.55"/>
    <x v="3"/>
    <x v="1"/>
    <x v="1"/>
  </r>
  <r>
    <x v="487"/>
    <x v="407"/>
    <s v="82990-92703-IX"/>
    <s v="L-L-1"/>
    <n v="5"/>
    <x v="475"/>
    <s v="nhelkine9@example.com"/>
    <x v="0"/>
    <s v="Lib"/>
    <s v="L"/>
    <n v="1"/>
    <n v="15.85"/>
    <n v="79.25"/>
    <x v="3"/>
    <x v="1"/>
    <x v="1"/>
  </r>
  <r>
    <x v="488"/>
    <x v="408"/>
    <s v="49412-86877-VY"/>
    <s v="L-M-0.2"/>
    <n v="6"/>
    <x v="476"/>
    <s v="pwitheringtonea@networkadvertising.org"/>
    <x v="0"/>
    <s v="Lib"/>
    <s v="M"/>
    <n v="0.2"/>
    <n v="4.3650000000000002"/>
    <n v="26.19"/>
    <x v="3"/>
    <x v="0"/>
    <x v="0"/>
  </r>
  <r>
    <x v="489"/>
    <x v="409"/>
    <s v="70879-00984-FJ"/>
    <s v="R-L-0.5"/>
    <n v="3"/>
    <x v="477"/>
    <s v="ttilzeyeb@hostgator.com"/>
    <x v="0"/>
    <s v="Rob"/>
    <s v="L"/>
    <n v="0.5"/>
    <n v="7.169999999999999"/>
    <n v="21.509999999999998"/>
    <x v="0"/>
    <x v="1"/>
    <x v="1"/>
  </r>
  <r>
    <x v="490"/>
    <x v="410"/>
    <s v="53414-73391-CR"/>
    <s v="R-D-2.5"/>
    <n v="5"/>
    <x v="478"/>
    <s v=""/>
    <x v="0"/>
    <s v="Rob"/>
    <s v="D"/>
    <n v="2.5"/>
    <n v="20.584999999999997"/>
    <n v="102.92499999999998"/>
    <x v="0"/>
    <x v="2"/>
    <x v="0"/>
  </r>
  <r>
    <x v="491"/>
    <x v="127"/>
    <s v="43606-83072-OA"/>
    <s v="L-D-0.2"/>
    <n v="2"/>
    <x v="479"/>
    <s v=""/>
    <x v="0"/>
    <s v="Lib"/>
    <s v="D"/>
    <n v="0.2"/>
    <n v="3.8849999999999998"/>
    <n v="7.77"/>
    <x v="3"/>
    <x v="2"/>
    <x v="1"/>
  </r>
  <r>
    <x v="492"/>
    <x v="411"/>
    <s v="84466-22864-CE"/>
    <s v="E-D-2.5"/>
    <n v="5"/>
    <x v="480"/>
    <s v="kimortsee@alexa.com"/>
    <x v="0"/>
    <s v="Exc"/>
    <s v="D"/>
    <n v="2.5"/>
    <n v="27.945"/>
    <n v="139.72499999999999"/>
    <x v="1"/>
    <x v="2"/>
    <x v="1"/>
  </r>
  <r>
    <x v="493"/>
    <x v="112"/>
    <s v="66458-91190-YC"/>
    <s v="A-D-0.5"/>
    <n v="2"/>
    <x v="464"/>
    <s v="murione5@alexa.com"/>
    <x v="1"/>
    <s v="Ara"/>
    <s v="D"/>
    <n v="0.5"/>
    <n v="5.97"/>
    <n v="11.94"/>
    <x v="2"/>
    <x v="2"/>
    <x v="0"/>
  </r>
  <r>
    <x v="494"/>
    <x v="412"/>
    <s v="76499-89100-JQ"/>
    <s v="L-D-0.2"/>
    <n v="1"/>
    <x v="481"/>
    <s v="marmisteadeg@blogtalkradio.com"/>
    <x v="0"/>
    <s v="Lib"/>
    <s v="D"/>
    <n v="0.2"/>
    <n v="3.8849999999999998"/>
    <n v="3.8849999999999998"/>
    <x v="3"/>
    <x v="2"/>
    <x v="1"/>
  </r>
  <r>
    <x v="494"/>
    <x v="412"/>
    <s v="76499-89100-JQ"/>
    <s v="R-M-1"/>
    <n v="4"/>
    <x v="481"/>
    <s v="marmisteadeg@blogtalkradio.com"/>
    <x v="0"/>
    <s v="Rob"/>
    <s v="M"/>
    <n v="1"/>
    <n v="9.9499999999999993"/>
    <n v="39.799999999999997"/>
    <x v="0"/>
    <x v="0"/>
    <x v="1"/>
  </r>
  <r>
    <x v="495"/>
    <x v="413"/>
    <s v="39582-35773-ZJ"/>
    <s v="R-M-0.5"/>
    <n v="5"/>
    <x v="482"/>
    <s v="vupstoneei@google.pl"/>
    <x v="0"/>
    <s v="Rob"/>
    <s v="M"/>
    <n v="0.5"/>
    <n v="5.97"/>
    <n v="29.849999999999998"/>
    <x v="0"/>
    <x v="0"/>
    <x v="1"/>
  </r>
  <r>
    <x v="496"/>
    <x v="414"/>
    <s v="66240-46962-IO"/>
    <s v="L-D-2.5"/>
    <n v="1"/>
    <x v="483"/>
    <s v="bbeelbyej@rediff.com"/>
    <x v="1"/>
    <s v="Lib"/>
    <s v="D"/>
    <n v="2.5"/>
    <n v="29.784999999999997"/>
    <n v="29.784999999999997"/>
    <x v="3"/>
    <x v="2"/>
    <x v="1"/>
  </r>
  <r>
    <x v="497"/>
    <x v="415"/>
    <s v="10637-45522-ID"/>
    <s v="L-L-2.5"/>
    <n v="2"/>
    <x v="484"/>
    <s v=""/>
    <x v="0"/>
    <s v="Lib"/>
    <s v="L"/>
    <n v="2.5"/>
    <n v="36.454999999999998"/>
    <n v="72.91"/>
    <x v="3"/>
    <x v="1"/>
    <x v="1"/>
  </r>
  <r>
    <x v="498"/>
    <x v="416"/>
    <s v="92599-58687-CS"/>
    <s v="R-D-0.2"/>
    <n v="5"/>
    <x v="485"/>
    <s v=""/>
    <x v="0"/>
    <s v="Rob"/>
    <s v="D"/>
    <n v="0.2"/>
    <n v="2.6849999999999996"/>
    <n v="13.424999999999997"/>
    <x v="0"/>
    <x v="2"/>
    <x v="0"/>
  </r>
  <r>
    <x v="499"/>
    <x v="417"/>
    <s v="06058-48844-PI"/>
    <s v="E-M-2.5"/>
    <n v="4"/>
    <x v="486"/>
    <s v="wspeechlyem@amazon.com"/>
    <x v="0"/>
    <s v="Exc"/>
    <s v="M"/>
    <n v="2.5"/>
    <n v="31.624999999999996"/>
    <n v="126.49999999999999"/>
    <x v="1"/>
    <x v="0"/>
    <x v="0"/>
  </r>
  <r>
    <x v="500"/>
    <x v="418"/>
    <s v="53631-24432-SY"/>
    <s v="E-M-0.5"/>
    <n v="5"/>
    <x v="487"/>
    <s v="iphillpoten@buzzfeed.com"/>
    <x v="2"/>
    <s v="Exc"/>
    <s v="M"/>
    <n v="0.5"/>
    <n v="8.25"/>
    <n v="41.25"/>
    <x v="1"/>
    <x v="0"/>
    <x v="1"/>
  </r>
  <r>
    <x v="501"/>
    <x v="419"/>
    <s v="18275-73980-KL"/>
    <s v="E-L-0.5"/>
    <n v="6"/>
    <x v="488"/>
    <s v="lpennaccieo@statcounter.com"/>
    <x v="0"/>
    <s v="Exc"/>
    <s v="L"/>
    <n v="0.5"/>
    <n v="8.91"/>
    <n v="53.46"/>
    <x v="1"/>
    <x v="1"/>
    <x v="1"/>
  </r>
  <r>
    <x v="502"/>
    <x v="420"/>
    <s v="23187-65750-HZ"/>
    <s v="R-M-1"/>
    <n v="6"/>
    <x v="489"/>
    <s v="sarpinep@moonfruit.com"/>
    <x v="0"/>
    <s v="Rob"/>
    <s v="M"/>
    <n v="1"/>
    <n v="9.9499999999999993"/>
    <n v="59.699999999999996"/>
    <x v="0"/>
    <x v="0"/>
    <x v="1"/>
  </r>
  <r>
    <x v="503"/>
    <x v="421"/>
    <s v="22725-79522-GP"/>
    <s v="R-M-1"/>
    <n v="6"/>
    <x v="490"/>
    <s v="dfrieseq@cargocollective.com"/>
    <x v="0"/>
    <s v="Rob"/>
    <s v="M"/>
    <n v="1"/>
    <n v="9.9499999999999993"/>
    <n v="59.699999999999996"/>
    <x v="0"/>
    <x v="0"/>
    <x v="1"/>
  </r>
  <r>
    <x v="504"/>
    <x v="422"/>
    <s v="06279-72603-JE"/>
    <s v="R-D-1"/>
    <n v="5"/>
    <x v="491"/>
    <s v="rsharerer@flavors.me"/>
    <x v="0"/>
    <s v="Rob"/>
    <s v="D"/>
    <n v="1"/>
    <n v="8.9499999999999993"/>
    <n v="44.75"/>
    <x v="0"/>
    <x v="2"/>
    <x v="1"/>
  </r>
  <r>
    <x v="505"/>
    <x v="423"/>
    <s v="83543-79246-ON"/>
    <s v="E-M-0.5"/>
    <n v="2"/>
    <x v="492"/>
    <s v="nnasebyes@umich.edu"/>
    <x v="0"/>
    <s v="Exc"/>
    <s v="M"/>
    <n v="0.5"/>
    <n v="8.25"/>
    <n v="16.5"/>
    <x v="1"/>
    <x v="0"/>
    <x v="0"/>
  </r>
  <r>
    <x v="506"/>
    <x v="109"/>
    <s v="66794-66795-VW"/>
    <s v="R-D-0.5"/>
    <n v="4"/>
    <x v="493"/>
    <s v=""/>
    <x v="0"/>
    <s v="Rob"/>
    <s v="D"/>
    <n v="0.5"/>
    <n v="5.3699999999999992"/>
    <n v="21.479999999999997"/>
    <x v="0"/>
    <x v="2"/>
    <x v="1"/>
  </r>
  <r>
    <x v="507"/>
    <x v="204"/>
    <s v="95424-67020-AP"/>
    <s v="R-M-2.5"/>
    <n v="2"/>
    <x v="494"/>
    <s v="koculleneu@ca.gov"/>
    <x v="1"/>
    <s v="Rob"/>
    <s v="M"/>
    <n v="2.5"/>
    <n v="22.884999999999998"/>
    <n v="45.769999999999996"/>
    <x v="0"/>
    <x v="0"/>
    <x v="0"/>
  </r>
  <r>
    <x v="508"/>
    <x v="424"/>
    <s v="73017-69644-MS"/>
    <s v="L-L-0.2"/>
    <n v="2"/>
    <x v="495"/>
    <s v=""/>
    <x v="1"/>
    <s v="Lib"/>
    <s v="L"/>
    <n v="0.2"/>
    <n v="4.7549999999999999"/>
    <n v="9.51"/>
    <x v="3"/>
    <x v="1"/>
    <x v="1"/>
  </r>
  <r>
    <x v="509"/>
    <x v="13"/>
    <s v="66458-91190-YC"/>
    <s v="R-D-0.2"/>
    <n v="3"/>
    <x v="464"/>
    <s v="murione5@alexa.com"/>
    <x v="1"/>
    <s v="Rob"/>
    <s v="D"/>
    <n v="0.2"/>
    <n v="2.6849999999999996"/>
    <n v="8.0549999999999997"/>
    <x v="0"/>
    <x v="2"/>
    <x v="0"/>
  </r>
  <r>
    <x v="510"/>
    <x v="224"/>
    <s v="67423-10113-LM"/>
    <s v="E-D-2.5"/>
    <n v="4"/>
    <x v="496"/>
    <s v="hbranganex@woothemes.com"/>
    <x v="0"/>
    <s v="Exc"/>
    <s v="D"/>
    <n v="2.5"/>
    <n v="27.945"/>
    <n v="111.78"/>
    <x v="1"/>
    <x v="2"/>
    <x v="0"/>
  </r>
  <r>
    <x v="511"/>
    <x v="220"/>
    <s v="48582-05061-RY"/>
    <s v="R-D-0.2"/>
    <n v="4"/>
    <x v="497"/>
    <s v="agallyoney@engadget.com"/>
    <x v="0"/>
    <s v="Rob"/>
    <s v="D"/>
    <n v="0.2"/>
    <n v="2.6849999999999996"/>
    <n v="10.739999999999998"/>
    <x v="0"/>
    <x v="2"/>
    <x v="0"/>
  </r>
  <r>
    <x v="512"/>
    <x v="91"/>
    <s v="32031-49093-KE"/>
    <s v="R-D-0.5"/>
    <n v="5"/>
    <x v="498"/>
    <s v="bdomangeez@yahoo.co.jp"/>
    <x v="0"/>
    <s v="Rob"/>
    <s v="D"/>
    <n v="0.5"/>
    <n v="5.3699999999999992"/>
    <n v="26.849999999999994"/>
    <x v="0"/>
    <x v="2"/>
    <x v="1"/>
  </r>
  <r>
    <x v="513"/>
    <x v="425"/>
    <s v="31715-98714-OO"/>
    <s v="L-L-1"/>
    <n v="4"/>
    <x v="499"/>
    <s v="koslerf0@gmpg.org"/>
    <x v="0"/>
    <s v="Lib"/>
    <s v="L"/>
    <n v="1"/>
    <n v="15.85"/>
    <n v="63.4"/>
    <x v="3"/>
    <x v="1"/>
    <x v="0"/>
  </r>
  <r>
    <x v="514"/>
    <x v="426"/>
    <s v="73759-17258-KA"/>
    <s v="A-D-2.5"/>
    <n v="1"/>
    <x v="500"/>
    <s v=""/>
    <x v="1"/>
    <s v="Ara"/>
    <s v="D"/>
    <n v="2.5"/>
    <n v="22.884999999999998"/>
    <n v="22.884999999999998"/>
    <x v="2"/>
    <x v="2"/>
    <x v="0"/>
  </r>
  <r>
    <x v="515"/>
    <x v="427"/>
    <s v="64897-79178-MH"/>
    <s v="A-M-2.5"/>
    <n v="4"/>
    <x v="501"/>
    <s v="zpellettf2@dailymotion.com"/>
    <x v="0"/>
    <s v="Ara"/>
    <s v="M"/>
    <n v="2.5"/>
    <n v="25.874999999999996"/>
    <n v="103.49999999999999"/>
    <x v="2"/>
    <x v="0"/>
    <x v="1"/>
  </r>
  <r>
    <x v="516"/>
    <x v="428"/>
    <s v="73346-85564-JB"/>
    <s v="R-L-2.5"/>
    <n v="2"/>
    <x v="502"/>
    <s v="isprakesf3@spiegel.de"/>
    <x v="0"/>
    <s v="Rob"/>
    <s v="L"/>
    <n v="2.5"/>
    <n v="27.484999999999996"/>
    <n v="54.969999999999992"/>
    <x v="0"/>
    <x v="1"/>
    <x v="1"/>
  </r>
  <r>
    <x v="517"/>
    <x v="383"/>
    <s v="07476-13102-NJ"/>
    <s v="A-L-0.5"/>
    <n v="2"/>
    <x v="503"/>
    <s v="hfromantf4@ucsd.edu"/>
    <x v="0"/>
    <s v="Ara"/>
    <s v="L"/>
    <n v="0.5"/>
    <n v="7.77"/>
    <n v="15.54"/>
    <x v="2"/>
    <x v="1"/>
    <x v="1"/>
  </r>
  <r>
    <x v="518"/>
    <x v="156"/>
    <s v="87223-37422-SK"/>
    <s v="L-D-0.2"/>
    <n v="4"/>
    <x v="504"/>
    <s v="rflearf5@artisteer.com"/>
    <x v="2"/>
    <s v="Lib"/>
    <s v="D"/>
    <n v="0.2"/>
    <n v="3.8849999999999998"/>
    <n v="15.54"/>
    <x v="3"/>
    <x v="2"/>
    <x v="1"/>
  </r>
  <r>
    <x v="519"/>
    <x v="429"/>
    <s v="57837-15577-YK"/>
    <s v="E-D-2.5"/>
    <n v="3"/>
    <x v="505"/>
    <s v=""/>
    <x v="1"/>
    <s v="Exc"/>
    <s v="D"/>
    <n v="2.5"/>
    <n v="27.945"/>
    <n v="83.835000000000008"/>
    <x v="1"/>
    <x v="2"/>
    <x v="1"/>
  </r>
  <r>
    <x v="520"/>
    <x v="103"/>
    <s v="10142-55267-YO"/>
    <s v="R-L-0.2"/>
    <n v="3"/>
    <x v="506"/>
    <s v="wlightollersf9@baidu.com"/>
    <x v="0"/>
    <s v="Rob"/>
    <s v="L"/>
    <n v="0.2"/>
    <n v="3.5849999999999995"/>
    <n v="10.754999999999999"/>
    <x v="0"/>
    <x v="1"/>
    <x v="0"/>
  </r>
  <r>
    <x v="521"/>
    <x v="361"/>
    <s v="73647-66148-VM"/>
    <s v="E-L-0.2"/>
    <n v="3"/>
    <x v="507"/>
    <s v="bmundenf8@elpais.com"/>
    <x v="0"/>
    <s v="Exc"/>
    <s v="L"/>
    <n v="0.2"/>
    <n v="4.4550000000000001"/>
    <n v="13.365"/>
    <x v="1"/>
    <x v="1"/>
    <x v="0"/>
  </r>
  <r>
    <x v="522"/>
    <x v="120"/>
    <s v="10142-55267-YO"/>
    <s v="E-L-0.2"/>
    <n v="4"/>
    <x v="506"/>
    <s v="wlightollersf9@baidu.com"/>
    <x v="0"/>
    <s v="Exc"/>
    <s v="L"/>
    <n v="0.2"/>
    <n v="4.4550000000000001"/>
    <n v="17.82"/>
    <x v="1"/>
    <x v="1"/>
    <x v="0"/>
  </r>
  <r>
    <x v="523"/>
    <x v="430"/>
    <s v="92976-19453-DT"/>
    <s v="L-D-0.2"/>
    <n v="6"/>
    <x v="508"/>
    <s v="nbrakespearfa@rediff.com"/>
    <x v="0"/>
    <s v="Lib"/>
    <s v="D"/>
    <n v="0.2"/>
    <n v="3.8849999999999998"/>
    <n v="23.31"/>
    <x v="3"/>
    <x v="2"/>
    <x v="0"/>
  </r>
  <r>
    <x v="524"/>
    <x v="125"/>
    <s v="89757-51438-HX"/>
    <s v="E-D-0.2"/>
    <n v="2"/>
    <x v="509"/>
    <s v="mglawsopfb@reverbnation.com"/>
    <x v="0"/>
    <s v="Exc"/>
    <s v="D"/>
    <n v="0.2"/>
    <n v="3.645"/>
    <n v="7.29"/>
    <x v="1"/>
    <x v="2"/>
    <x v="1"/>
  </r>
  <r>
    <x v="525"/>
    <x v="431"/>
    <s v="76192-13390-HZ"/>
    <s v="E-L-0.2"/>
    <n v="4"/>
    <x v="510"/>
    <s v="galbertsfc@etsy.com"/>
    <x v="2"/>
    <s v="Exc"/>
    <s v="L"/>
    <n v="0.2"/>
    <n v="4.4550000000000001"/>
    <n v="17.82"/>
    <x v="1"/>
    <x v="1"/>
    <x v="0"/>
  </r>
  <r>
    <x v="526"/>
    <x v="40"/>
    <s v="02009-87294-SY"/>
    <s v="E-M-1"/>
    <n v="5"/>
    <x v="511"/>
    <s v="vpolglasefd@about.me"/>
    <x v="0"/>
    <s v="Exc"/>
    <s v="M"/>
    <n v="1"/>
    <n v="13.75"/>
    <n v="68.75"/>
    <x v="1"/>
    <x v="0"/>
    <x v="1"/>
  </r>
  <r>
    <x v="527"/>
    <x v="432"/>
    <s v="82872-34456-LJ"/>
    <s v="R-L-2.5"/>
    <n v="2"/>
    <x v="512"/>
    <s v=""/>
    <x v="2"/>
    <s v="Rob"/>
    <s v="L"/>
    <n v="2.5"/>
    <n v="27.484999999999996"/>
    <n v="54.969999999999992"/>
    <x v="0"/>
    <x v="1"/>
    <x v="0"/>
  </r>
  <r>
    <x v="528"/>
    <x v="254"/>
    <s v="13181-04387-LI"/>
    <s v="E-M-1"/>
    <n v="6"/>
    <x v="513"/>
    <s v="sbuschff@so-net.ne.jp"/>
    <x v="1"/>
    <s v="Exc"/>
    <s v="M"/>
    <n v="1"/>
    <n v="13.75"/>
    <n v="82.5"/>
    <x v="1"/>
    <x v="0"/>
    <x v="1"/>
  </r>
  <r>
    <x v="529"/>
    <x v="219"/>
    <s v="24845-36117-TI"/>
    <s v="L-M-0.2"/>
    <n v="2"/>
    <x v="514"/>
    <s v="craisbeckfg@webnode.com"/>
    <x v="0"/>
    <s v="Lib"/>
    <s v="M"/>
    <n v="0.2"/>
    <n v="4.3650000000000002"/>
    <n v="8.73"/>
    <x v="3"/>
    <x v="0"/>
    <x v="0"/>
  </r>
  <r>
    <x v="530"/>
    <x v="433"/>
    <s v="66458-91190-YC"/>
    <s v="E-L-1"/>
    <n v="4"/>
    <x v="464"/>
    <s v="murione5@alexa.com"/>
    <x v="1"/>
    <s v="Exc"/>
    <s v="L"/>
    <n v="1"/>
    <n v="14.85"/>
    <n v="59.4"/>
    <x v="1"/>
    <x v="1"/>
    <x v="0"/>
  </r>
  <r>
    <x v="531"/>
    <x v="434"/>
    <s v="86646-65810-TD"/>
    <s v="L-D-0.2"/>
    <n v="4"/>
    <x v="515"/>
    <s v=""/>
    <x v="0"/>
    <s v="Lib"/>
    <s v="D"/>
    <n v="0.2"/>
    <n v="3.8849999999999998"/>
    <n v="15.54"/>
    <x v="3"/>
    <x v="2"/>
    <x v="0"/>
  </r>
  <r>
    <x v="532"/>
    <x v="435"/>
    <s v="59480-02795-IU"/>
    <s v="A-L-1"/>
    <n v="3"/>
    <x v="516"/>
    <s v="raynoldfj@ustream.tv"/>
    <x v="0"/>
    <s v="Ara"/>
    <s v="L"/>
    <n v="1"/>
    <n v="12.95"/>
    <n v="38.849999999999994"/>
    <x v="2"/>
    <x v="1"/>
    <x v="0"/>
  </r>
  <r>
    <x v="533"/>
    <x v="436"/>
    <s v="61809-87758-LJ"/>
    <s v="E-M-2.5"/>
    <n v="6"/>
    <x v="517"/>
    <s v=""/>
    <x v="0"/>
    <s v="Exc"/>
    <s v="M"/>
    <n v="2.5"/>
    <n v="31.624999999999996"/>
    <n v="189.74999999999997"/>
    <x v="1"/>
    <x v="0"/>
    <x v="0"/>
  </r>
  <r>
    <x v="534"/>
    <x v="437"/>
    <s v="77408-43873-RS"/>
    <s v="A-D-0.2"/>
    <n v="6"/>
    <x v="518"/>
    <s v=""/>
    <x v="1"/>
    <s v="Ara"/>
    <s v="D"/>
    <n v="0.2"/>
    <n v="2.9849999999999999"/>
    <n v="17.91"/>
    <x v="2"/>
    <x v="2"/>
    <x v="0"/>
  </r>
  <r>
    <x v="535"/>
    <x v="438"/>
    <s v="18366-65239-WF"/>
    <s v="L-L-0.2"/>
    <n v="6"/>
    <x v="519"/>
    <s v="bgrecefm@naver.com"/>
    <x v="2"/>
    <s v="Lib"/>
    <s v="L"/>
    <n v="0.2"/>
    <n v="4.7549999999999999"/>
    <n v="28.53"/>
    <x v="3"/>
    <x v="1"/>
    <x v="1"/>
  </r>
  <r>
    <x v="536"/>
    <x v="439"/>
    <s v="19485-98072-PS"/>
    <s v="E-M-1"/>
    <n v="6"/>
    <x v="520"/>
    <s v="dflintiffg1@e-recht24.de"/>
    <x v="2"/>
    <s v="Exc"/>
    <s v="M"/>
    <n v="1"/>
    <n v="13.75"/>
    <n v="82.5"/>
    <x v="1"/>
    <x v="0"/>
    <x v="1"/>
  </r>
  <r>
    <x v="537"/>
    <x v="175"/>
    <s v="72072-33025-SD"/>
    <s v="R-L-0.5"/>
    <n v="2"/>
    <x v="521"/>
    <s v="athysfo@cdc.gov"/>
    <x v="0"/>
    <s v="Rob"/>
    <s v="L"/>
    <n v="0.5"/>
    <n v="7.169999999999999"/>
    <n v="14.339999999999998"/>
    <x v="0"/>
    <x v="1"/>
    <x v="1"/>
  </r>
  <r>
    <x v="538"/>
    <x v="440"/>
    <s v="58118-22461-GC"/>
    <s v="R-D-2.5"/>
    <n v="4"/>
    <x v="522"/>
    <s v="jchuggfp@about.me"/>
    <x v="0"/>
    <s v="Rob"/>
    <s v="D"/>
    <n v="2.5"/>
    <n v="20.584999999999997"/>
    <n v="82.339999999999989"/>
    <x v="0"/>
    <x v="2"/>
    <x v="1"/>
  </r>
  <r>
    <x v="539"/>
    <x v="441"/>
    <s v="90940-63327-DJ"/>
    <s v="A-M-0.2"/>
    <n v="6"/>
    <x v="523"/>
    <s v="akelstonfq@sakura.ne.jp"/>
    <x v="0"/>
    <s v="Ara"/>
    <s v="M"/>
    <n v="0.2"/>
    <n v="3.375"/>
    <n v="20.25"/>
    <x v="2"/>
    <x v="0"/>
    <x v="0"/>
  </r>
  <r>
    <x v="540"/>
    <x v="442"/>
    <s v="64481-42546-II"/>
    <s v="R-L-2.5"/>
    <n v="6"/>
    <x v="524"/>
    <s v=""/>
    <x v="1"/>
    <s v="Rob"/>
    <s v="L"/>
    <n v="2.5"/>
    <n v="27.484999999999996"/>
    <n v="164.90999999999997"/>
    <x v="0"/>
    <x v="1"/>
    <x v="1"/>
  </r>
  <r>
    <x v="541"/>
    <x v="443"/>
    <s v="27536-28463-NJ"/>
    <s v="L-L-0.2"/>
    <n v="4"/>
    <x v="525"/>
    <s v="cmottramfs@harvard.edu"/>
    <x v="0"/>
    <s v="Lib"/>
    <s v="L"/>
    <n v="0.2"/>
    <n v="4.7549999999999999"/>
    <n v="19.02"/>
    <x v="3"/>
    <x v="1"/>
    <x v="0"/>
  </r>
  <r>
    <x v="542"/>
    <x v="216"/>
    <s v="19485-98072-PS"/>
    <s v="A-D-2.5"/>
    <n v="6"/>
    <x v="520"/>
    <s v="dflintiffg1@e-recht24.de"/>
    <x v="2"/>
    <s v="Ara"/>
    <s v="D"/>
    <n v="2.5"/>
    <n v="22.884999999999998"/>
    <n v="137.31"/>
    <x v="2"/>
    <x v="2"/>
    <x v="1"/>
  </r>
  <r>
    <x v="543"/>
    <x v="444"/>
    <s v="70140-82812-KD"/>
    <s v="A-M-0.5"/>
    <n v="4"/>
    <x v="526"/>
    <s v="dsangwinfu@weebly.com"/>
    <x v="0"/>
    <s v="Ara"/>
    <s v="M"/>
    <n v="0.5"/>
    <n v="6.75"/>
    <n v="27"/>
    <x v="2"/>
    <x v="0"/>
    <x v="1"/>
  </r>
  <r>
    <x v="544"/>
    <x v="37"/>
    <s v="91895-55605-LS"/>
    <s v="E-L-0.5"/>
    <n v="4"/>
    <x v="527"/>
    <s v="eaizikowitzfv@virginia.edu"/>
    <x v="2"/>
    <s v="Exc"/>
    <s v="L"/>
    <n v="0.5"/>
    <n v="8.91"/>
    <n v="35.64"/>
    <x v="1"/>
    <x v="1"/>
    <x v="1"/>
  </r>
  <r>
    <x v="545"/>
    <x v="445"/>
    <s v="43155-71724-XP"/>
    <s v="A-D-0.2"/>
    <n v="2"/>
    <x v="528"/>
    <s v=""/>
    <x v="0"/>
    <s v="Ara"/>
    <s v="D"/>
    <n v="0.2"/>
    <n v="2.9849999999999999"/>
    <n v="5.97"/>
    <x v="2"/>
    <x v="2"/>
    <x v="0"/>
  </r>
  <r>
    <x v="546"/>
    <x v="446"/>
    <s v="32038-81174-JF"/>
    <s v="A-M-1"/>
    <n v="6"/>
    <x v="529"/>
    <s v="cvenourfx@ask.com"/>
    <x v="0"/>
    <s v="Ara"/>
    <s v="M"/>
    <n v="1"/>
    <n v="11.25"/>
    <n v="67.5"/>
    <x v="2"/>
    <x v="0"/>
    <x v="1"/>
  </r>
  <r>
    <x v="547"/>
    <x v="245"/>
    <s v="59205-20324-NB"/>
    <s v="R-L-0.2"/>
    <n v="6"/>
    <x v="530"/>
    <s v="mharbyfy@163.com"/>
    <x v="0"/>
    <s v="Rob"/>
    <s v="L"/>
    <n v="0.2"/>
    <n v="3.5849999999999995"/>
    <n v="21.509999999999998"/>
    <x v="0"/>
    <x v="1"/>
    <x v="0"/>
  </r>
  <r>
    <x v="548"/>
    <x v="447"/>
    <s v="99899-54612-NX"/>
    <s v="L-M-2.5"/>
    <n v="2"/>
    <x v="531"/>
    <s v="rthickpennyfz@cafepress.com"/>
    <x v="0"/>
    <s v="Lib"/>
    <s v="M"/>
    <n v="2.5"/>
    <n v="33.464999999999996"/>
    <n v="66.929999999999993"/>
    <x v="3"/>
    <x v="0"/>
    <x v="1"/>
  </r>
  <r>
    <x v="549"/>
    <x v="448"/>
    <s v="26248-84194-FI"/>
    <s v="A-D-0.2"/>
    <n v="6"/>
    <x v="532"/>
    <s v="pormerodg0@redcross.org"/>
    <x v="0"/>
    <s v="Ara"/>
    <s v="D"/>
    <n v="0.2"/>
    <n v="2.9849999999999999"/>
    <n v="17.91"/>
    <x v="2"/>
    <x v="2"/>
    <x v="1"/>
  </r>
  <r>
    <x v="550"/>
    <x v="344"/>
    <s v="19485-98072-PS"/>
    <s v="L-M-1"/>
    <n v="4"/>
    <x v="520"/>
    <s v="dflintiffg1@e-recht24.de"/>
    <x v="2"/>
    <s v="Lib"/>
    <s v="M"/>
    <n v="1"/>
    <n v="14.55"/>
    <n v="58.2"/>
    <x v="3"/>
    <x v="0"/>
    <x v="1"/>
  </r>
  <r>
    <x v="551"/>
    <x v="152"/>
    <s v="84493-71314-WX"/>
    <s v="E-L-0.2"/>
    <n v="3"/>
    <x v="533"/>
    <s v="tzanettig2@gravatar.com"/>
    <x v="1"/>
    <s v="Exc"/>
    <s v="L"/>
    <n v="0.2"/>
    <n v="4.4550000000000001"/>
    <n v="13.365"/>
    <x v="1"/>
    <x v="1"/>
    <x v="1"/>
  </r>
  <r>
    <x v="551"/>
    <x v="152"/>
    <s v="84493-71314-WX"/>
    <s v="A-M-0.5"/>
    <n v="5"/>
    <x v="533"/>
    <s v="tzanettig2@gravatar.com"/>
    <x v="1"/>
    <s v="Ara"/>
    <s v="M"/>
    <n v="0.5"/>
    <n v="6.75"/>
    <n v="33.75"/>
    <x v="2"/>
    <x v="0"/>
    <x v="1"/>
  </r>
  <r>
    <x v="552"/>
    <x v="449"/>
    <s v="39789-43945-IV"/>
    <s v="E-L-1"/>
    <n v="3"/>
    <x v="534"/>
    <s v="rkirtleyg4@hatena.ne.jp"/>
    <x v="0"/>
    <s v="Exc"/>
    <s v="L"/>
    <n v="1"/>
    <n v="14.85"/>
    <n v="44.55"/>
    <x v="1"/>
    <x v="1"/>
    <x v="0"/>
  </r>
  <r>
    <x v="553"/>
    <x v="450"/>
    <s v="38972-89678-ZM"/>
    <s v="E-L-0.5"/>
    <n v="5"/>
    <x v="535"/>
    <s v="cclemencetg5@weather.com"/>
    <x v="2"/>
    <s v="Exc"/>
    <s v="L"/>
    <n v="0.5"/>
    <n v="8.91"/>
    <n v="44.55"/>
    <x v="1"/>
    <x v="1"/>
    <x v="0"/>
  </r>
  <r>
    <x v="554"/>
    <x v="451"/>
    <s v="91465-84526-IJ"/>
    <s v="E-D-1"/>
    <n v="5"/>
    <x v="536"/>
    <s v="rdonetg6@oakley.com"/>
    <x v="0"/>
    <s v="Exc"/>
    <s v="D"/>
    <n v="1"/>
    <n v="12.15"/>
    <n v="60.75"/>
    <x v="1"/>
    <x v="2"/>
    <x v="1"/>
  </r>
  <r>
    <x v="555"/>
    <x v="83"/>
    <s v="22832-98538-RB"/>
    <s v="R-L-0.2"/>
    <n v="1"/>
    <x v="537"/>
    <s v="sgaweng7@creativecommons.org"/>
    <x v="0"/>
    <s v="Rob"/>
    <s v="L"/>
    <n v="0.2"/>
    <n v="3.5849999999999995"/>
    <n v="3.5849999999999995"/>
    <x v="0"/>
    <x v="1"/>
    <x v="0"/>
  </r>
  <r>
    <x v="556"/>
    <x v="452"/>
    <s v="30844-91890-ZA"/>
    <s v="R-L-0.2"/>
    <n v="6"/>
    <x v="538"/>
    <s v="rreadieg8@guardian.co.uk"/>
    <x v="0"/>
    <s v="Rob"/>
    <s v="L"/>
    <n v="0.2"/>
    <n v="3.5849999999999995"/>
    <n v="21.509999999999998"/>
    <x v="0"/>
    <x v="1"/>
    <x v="1"/>
  </r>
  <r>
    <x v="557"/>
    <x v="453"/>
    <s v="05325-97750-WP"/>
    <s v="E-M-0.5"/>
    <n v="2"/>
    <x v="539"/>
    <s v="cverissimogh@theglobeandmail.com"/>
    <x v="2"/>
    <s v="Exc"/>
    <s v="M"/>
    <n v="0.5"/>
    <n v="8.25"/>
    <n v="16.5"/>
    <x v="1"/>
    <x v="0"/>
    <x v="0"/>
  </r>
  <r>
    <x v="558"/>
    <x v="454"/>
    <s v="88992-49081-AT"/>
    <s v="R-L-2.5"/>
    <n v="3"/>
    <x v="540"/>
    <s v=""/>
    <x v="0"/>
    <s v="Rob"/>
    <s v="L"/>
    <n v="2.5"/>
    <n v="27.484999999999996"/>
    <n v="82.454999999999984"/>
    <x v="0"/>
    <x v="1"/>
    <x v="1"/>
  </r>
  <r>
    <x v="559"/>
    <x v="455"/>
    <s v="10204-31464-SA"/>
    <s v="L-D-0.5"/>
    <n v="1"/>
    <x v="541"/>
    <s v="bogb@elpais.com"/>
    <x v="0"/>
    <s v="Lib"/>
    <s v="D"/>
    <n v="0.5"/>
    <n v="7.77"/>
    <n v="7.77"/>
    <x v="3"/>
    <x v="2"/>
    <x v="0"/>
  </r>
  <r>
    <x v="560"/>
    <x v="456"/>
    <s v="75156-80911-YT"/>
    <s v="R-M-0.5"/>
    <n v="2"/>
    <x v="542"/>
    <s v="vstansburygc@unblog.fr"/>
    <x v="0"/>
    <s v="Rob"/>
    <s v="M"/>
    <n v="0.5"/>
    <n v="5.97"/>
    <n v="11.94"/>
    <x v="0"/>
    <x v="0"/>
    <x v="0"/>
  </r>
  <r>
    <x v="561"/>
    <x v="373"/>
    <s v="53971-49906-PZ"/>
    <s v="E-L-2.5"/>
    <n v="6"/>
    <x v="543"/>
    <s v="dheinonengd@printfriendly.com"/>
    <x v="0"/>
    <s v="Exc"/>
    <s v="L"/>
    <n v="2.5"/>
    <n v="34.154999999999994"/>
    <n v="204.92999999999995"/>
    <x v="1"/>
    <x v="1"/>
    <x v="1"/>
  </r>
  <r>
    <x v="562"/>
    <x v="457"/>
    <s v="10728-17633-ST"/>
    <s v="E-M-2.5"/>
    <n v="2"/>
    <x v="544"/>
    <s v="jshentonge@google.com.hk"/>
    <x v="0"/>
    <s v="Exc"/>
    <s v="M"/>
    <n v="2.5"/>
    <n v="31.624999999999996"/>
    <n v="63.249999999999993"/>
    <x v="1"/>
    <x v="0"/>
    <x v="0"/>
  </r>
  <r>
    <x v="563"/>
    <x v="458"/>
    <s v="13549-65017-VE"/>
    <s v="R-D-0.2"/>
    <n v="3"/>
    <x v="545"/>
    <s v="jwilkissongf@nba.com"/>
    <x v="0"/>
    <s v="Rob"/>
    <s v="D"/>
    <n v="0.2"/>
    <n v="2.6849999999999996"/>
    <n v="8.0549999999999997"/>
    <x v="0"/>
    <x v="2"/>
    <x v="0"/>
  </r>
  <r>
    <x v="564"/>
    <x v="264"/>
    <s v="87688-42420-TO"/>
    <s v="A-M-2.5"/>
    <n v="2"/>
    <x v="546"/>
    <s v=""/>
    <x v="0"/>
    <s v="Ara"/>
    <s v="M"/>
    <n v="2.5"/>
    <n v="25.874999999999996"/>
    <n v="51.749999999999993"/>
    <x v="2"/>
    <x v="0"/>
    <x v="1"/>
  </r>
  <r>
    <x v="565"/>
    <x v="459"/>
    <s v="05325-97750-WP"/>
    <s v="E-D-2.5"/>
    <n v="1"/>
    <x v="539"/>
    <s v="cverissimogh@theglobeandmail.com"/>
    <x v="2"/>
    <s v="Exc"/>
    <s v="D"/>
    <n v="2.5"/>
    <n v="27.945"/>
    <n v="27.945"/>
    <x v="1"/>
    <x v="2"/>
    <x v="0"/>
  </r>
  <r>
    <x v="566"/>
    <x v="460"/>
    <s v="51901-35210-UI"/>
    <s v="A-L-2.5"/>
    <n v="2"/>
    <x v="547"/>
    <s v="gstarcksgi@abc.net.au"/>
    <x v="0"/>
    <s v="Ara"/>
    <s v="L"/>
    <n v="2.5"/>
    <n v="29.784999999999997"/>
    <n v="59.569999999999993"/>
    <x v="2"/>
    <x v="1"/>
    <x v="1"/>
  </r>
  <r>
    <x v="567"/>
    <x v="461"/>
    <s v="62483-50867-OM"/>
    <s v="E-L-1"/>
    <n v="1"/>
    <x v="548"/>
    <s v=""/>
    <x v="2"/>
    <s v="Exc"/>
    <s v="L"/>
    <n v="1"/>
    <n v="14.85"/>
    <n v="14.85"/>
    <x v="1"/>
    <x v="1"/>
    <x v="1"/>
  </r>
  <r>
    <x v="568"/>
    <x v="219"/>
    <s v="92753-50029-SD"/>
    <s v="A-M-0.5"/>
    <n v="5"/>
    <x v="549"/>
    <s v="kscholardgk@sbwire.com"/>
    <x v="0"/>
    <s v="Ara"/>
    <s v="M"/>
    <n v="0.5"/>
    <n v="6.75"/>
    <n v="33.75"/>
    <x v="2"/>
    <x v="0"/>
    <x v="1"/>
  </r>
  <r>
    <x v="569"/>
    <x v="462"/>
    <s v="53809-98498-SN"/>
    <s v="L-L-2.5"/>
    <n v="4"/>
    <x v="550"/>
    <s v="bkindleygl@wikimedia.org"/>
    <x v="0"/>
    <s v="Lib"/>
    <s v="L"/>
    <n v="2.5"/>
    <n v="36.454999999999998"/>
    <n v="145.82"/>
    <x v="3"/>
    <x v="1"/>
    <x v="0"/>
  </r>
  <r>
    <x v="570"/>
    <x v="463"/>
    <s v="66308-13503-KD"/>
    <s v="R-M-0.2"/>
    <n v="4"/>
    <x v="551"/>
    <s v="khammettgm@dmoz.org"/>
    <x v="0"/>
    <s v="Rob"/>
    <s v="M"/>
    <n v="0.2"/>
    <n v="2.9849999999999999"/>
    <n v="11.94"/>
    <x v="0"/>
    <x v="0"/>
    <x v="0"/>
  </r>
  <r>
    <x v="571"/>
    <x v="464"/>
    <s v="82458-87830-JE"/>
    <s v="A-D-0.2"/>
    <n v="4"/>
    <x v="552"/>
    <s v="ahulburtgn@fda.gov"/>
    <x v="0"/>
    <s v="Ara"/>
    <s v="D"/>
    <n v="0.2"/>
    <n v="2.9849999999999999"/>
    <n v="11.94"/>
    <x v="2"/>
    <x v="2"/>
    <x v="0"/>
  </r>
  <r>
    <x v="572"/>
    <x v="465"/>
    <s v="41611-34336-WT"/>
    <s v="L-D-0.5"/>
    <n v="1"/>
    <x v="553"/>
    <s v="plauritzengo@photobucket.com"/>
    <x v="0"/>
    <s v="Lib"/>
    <s v="D"/>
    <n v="0.5"/>
    <n v="7.77"/>
    <n v="7.77"/>
    <x v="3"/>
    <x v="2"/>
    <x v="1"/>
  </r>
  <r>
    <x v="573"/>
    <x v="466"/>
    <s v="70089-27418-UJ"/>
    <s v="R-L-2.5"/>
    <n v="4"/>
    <x v="554"/>
    <s v="aburgwingp@redcross.org"/>
    <x v="0"/>
    <s v="Rob"/>
    <s v="L"/>
    <n v="2.5"/>
    <n v="27.484999999999996"/>
    <n v="109.93999999999998"/>
    <x v="0"/>
    <x v="1"/>
    <x v="0"/>
  </r>
  <r>
    <x v="574"/>
    <x v="467"/>
    <s v="99978-56910-BN"/>
    <s v="E-L-0.2"/>
    <n v="5"/>
    <x v="555"/>
    <s v="erolingq@google.fr"/>
    <x v="0"/>
    <s v="Exc"/>
    <s v="L"/>
    <n v="0.2"/>
    <n v="4.4550000000000001"/>
    <n v="22.274999999999999"/>
    <x v="1"/>
    <x v="1"/>
    <x v="0"/>
  </r>
  <r>
    <x v="575"/>
    <x v="468"/>
    <s v="09668-23340-IC"/>
    <s v="R-M-0.2"/>
    <n v="3"/>
    <x v="556"/>
    <s v="dfowlegr@epa.gov"/>
    <x v="0"/>
    <s v="Rob"/>
    <s v="M"/>
    <n v="0.2"/>
    <n v="2.9849999999999999"/>
    <n v="8.9550000000000001"/>
    <x v="0"/>
    <x v="0"/>
    <x v="1"/>
  </r>
  <r>
    <x v="576"/>
    <x v="469"/>
    <s v="39457-62611-YK"/>
    <s v="L-D-2.5"/>
    <n v="4"/>
    <x v="557"/>
    <s v=""/>
    <x v="1"/>
    <s v="Lib"/>
    <s v="D"/>
    <n v="2.5"/>
    <n v="29.784999999999997"/>
    <n v="119.13999999999999"/>
    <x v="3"/>
    <x v="2"/>
    <x v="1"/>
  </r>
  <r>
    <x v="577"/>
    <x v="470"/>
    <s v="90985-89807-RW"/>
    <s v="A-L-2.5"/>
    <n v="5"/>
    <x v="558"/>
    <s v="wpowleslandgt@soundcloud.com"/>
    <x v="0"/>
    <s v="Ara"/>
    <s v="L"/>
    <n v="2.5"/>
    <n v="29.784999999999997"/>
    <n v="148.92499999999998"/>
    <x v="2"/>
    <x v="1"/>
    <x v="0"/>
  </r>
  <r>
    <x v="578"/>
    <x v="471"/>
    <s v="05325-97750-WP"/>
    <s v="L-L-2.5"/>
    <n v="3"/>
    <x v="539"/>
    <s v="cverissimogh@theglobeandmail.com"/>
    <x v="2"/>
    <s v="Lib"/>
    <s v="L"/>
    <n v="2.5"/>
    <n v="36.454999999999998"/>
    <n v="109.36499999999999"/>
    <x v="3"/>
    <x v="1"/>
    <x v="0"/>
  </r>
  <r>
    <x v="579"/>
    <x v="472"/>
    <s v="17816-67941-ZS"/>
    <s v="E-D-0.2"/>
    <n v="1"/>
    <x v="559"/>
    <s v="lellinghamgv@sciencedaily.com"/>
    <x v="0"/>
    <s v="Exc"/>
    <s v="D"/>
    <n v="0.2"/>
    <n v="3.645"/>
    <n v="3.645"/>
    <x v="1"/>
    <x v="2"/>
    <x v="0"/>
  </r>
  <r>
    <x v="580"/>
    <x v="173"/>
    <s v="90816-65619-LM"/>
    <s v="E-D-2.5"/>
    <n v="2"/>
    <x v="560"/>
    <s v=""/>
    <x v="0"/>
    <s v="Exc"/>
    <s v="D"/>
    <n v="2.5"/>
    <n v="27.945"/>
    <n v="55.89"/>
    <x v="1"/>
    <x v="2"/>
    <x v="1"/>
  </r>
  <r>
    <x v="581"/>
    <x v="473"/>
    <s v="69761-61146-KD"/>
    <s v="L-M-0.2"/>
    <n v="6"/>
    <x v="561"/>
    <s v="afendtgx@forbes.com"/>
    <x v="0"/>
    <s v="Lib"/>
    <s v="M"/>
    <n v="0.2"/>
    <n v="4.3650000000000002"/>
    <n v="26.19"/>
    <x v="3"/>
    <x v="0"/>
    <x v="0"/>
  </r>
  <r>
    <x v="582"/>
    <x v="474"/>
    <s v="24040-20817-QB"/>
    <s v="R-M-1"/>
    <n v="4"/>
    <x v="562"/>
    <s v="acleyburngy@lycos.com"/>
    <x v="0"/>
    <s v="Rob"/>
    <s v="M"/>
    <n v="1"/>
    <n v="9.9499999999999993"/>
    <n v="39.799999999999997"/>
    <x v="0"/>
    <x v="0"/>
    <x v="1"/>
  </r>
  <r>
    <x v="583"/>
    <x v="475"/>
    <s v="19524-21432-XP"/>
    <s v="E-L-2.5"/>
    <n v="2"/>
    <x v="563"/>
    <s v="tcastiglionegz@xing.com"/>
    <x v="0"/>
    <s v="Exc"/>
    <s v="L"/>
    <n v="2.5"/>
    <n v="34.154999999999994"/>
    <n v="68.309999999999988"/>
    <x v="1"/>
    <x v="1"/>
    <x v="1"/>
  </r>
  <r>
    <x v="584"/>
    <x v="476"/>
    <s v="14398-43114-RV"/>
    <s v="A-M-0.2"/>
    <n v="4"/>
    <x v="564"/>
    <s v=""/>
    <x v="1"/>
    <s v="Ara"/>
    <s v="M"/>
    <n v="0.2"/>
    <n v="3.375"/>
    <n v="13.5"/>
    <x v="2"/>
    <x v="0"/>
    <x v="1"/>
  </r>
  <r>
    <x v="585"/>
    <x v="431"/>
    <s v="41486-52502-QQ"/>
    <s v="R-M-0.5"/>
    <n v="1"/>
    <x v="565"/>
    <s v=""/>
    <x v="0"/>
    <s v="Rob"/>
    <s v="M"/>
    <n v="0.5"/>
    <n v="5.97"/>
    <n v="5.97"/>
    <x v="0"/>
    <x v="0"/>
    <x v="1"/>
  </r>
  <r>
    <x v="586"/>
    <x v="477"/>
    <s v="05325-97750-WP"/>
    <s v="R-M-0.5"/>
    <n v="5"/>
    <x v="539"/>
    <s v="cverissimogh@theglobeandmail.com"/>
    <x v="2"/>
    <s v="Rob"/>
    <s v="M"/>
    <n v="0.5"/>
    <n v="5.97"/>
    <n v="29.849999999999998"/>
    <x v="0"/>
    <x v="0"/>
    <x v="0"/>
  </r>
  <r>
    <x v="587"/>
    <x v="478"/>
    <s v="20236-64364-QL"/>
    <s v="L-L-2.5"/>
    <n v="2"/>
    <x v="566"/>
    <s v="scouronneh3@mozilla.org"/>
    <x v="0"/>
    <s v="Lib"/>
    <s v="L"/>
    <n v="2.5"/>
    <n v="36.454999999999998"/>
    <n v="72.91"/>
    <x v="3"/>
    <x v="1"/>
    <x v="0"/>
  </r>
  <r>
    <x v="588"/>
    <x v="45"/>
    <s v="29102-40100-TZ"/>
    <s v="E-M-2.5"/>
    <n v="4"/>
    <x v="567"/>
    <s v="lflippellih4@github.io"/>
    <x v="2"/>
    <s v="Exc"/>
    <s v="M"/>
    <n v="2.5"/>
    <n v="31.624999999999996"/>
    <n v="126.49999999999999"/>
    <x v="1"/>
    <x v="0"/>
    <x v="1"/>
  </r>
  <r>
    <x v="589"/>
    <x v="444"/>
    <s v="09171-42203-EB"/>
    <s v="L-M-2.5"/>
    <n v="1"/>
    <x v="568"/>
    <s v="relizabethh5@live.com"/>
    <x v="0"/>
    <s v="Lib"/>
    <s v="M"/>
    <n v="2.5"/>
    <n v="33.464999999999996"/>
    <n v="33.464999999999996"/>
    <x v="3"/>
    <x v="0"/>
    <x v="1"/>
  </r>
  <r>
    <x v="590"/>
    <x v="479"/>
    <s v="29060-75856-UI"/>
    <s v="E-D-1"/>
    <n v="6"/>
    <x v="569"/>
    <s v="irenhardh6@i2i.jp"/>
    <x v="0"/>
    <s v="Exc"/>
    <s v="D"/>
    <n v="1"/>
    <n v="12.15"/>
    <n v="72.900000000000006"/>
    <x v="1"/>
    <x v="2"/>
    <x v="0"/>
  </r>
  <r>
    <x v="591"/>
    <x v="480"/>
    <s v="17088-16989-PL"/>
    <s v="L-D-0.5"/>
    <n v="2"/>
    <x v="570"/>
    <s v="wrocheh7@xinhuanet.com"/>
    <x v="0"/>
    <s v="Lib"/>
    <s v="D"/>
    <n v="0.5"/>
    <n v="7.77"/>
    <n v="15.54"/>
    <x v="3"/>
    <x v="2"/>
    <x v="0"/>
  </r>
  <r>
    <x v="592"/>
    <x v="481"/>
    <s v="14756-18321-CL"/>
    <s v="A-M-0.2"/>
    <n v="6"/>
    <x v="571"/>
    <s v="lalawayhh@weather.com"/>
    <x v="0"/>
    <s v="Ara"/>
    <s v="M"/>
    <n v="0.2"/>
    <n v="3.375"/>
    <n v="20.25"/>
    <x v="2"/>
    <x v="0"/>
    <x v="1"/>
  </r>
  <r>
    <x v="593"/>
    <x v="478"/>
    <s v="13324-78688-MI"/>
    <s v="A-L-1"/>
    <n v="6"/>
    <x v="572"/>
    <s v="codgaardh9@nsw.gov.au"/>
    <x v="0"/>
    <s v="Ara"/>
    <s v="L"/>
    <n v="1"/>
    <n v="12.95"/>
    <n v="77.699999999999989"/>
    <x v="2"/>
    <x v="1"/>
    <x v="1"/>
  </r>
  <r>
    <x v="594"/>
    <x v="482"/>
    <s v="73799-04749-BM"/>
    <s v="L-M-2.5"/>
    <n v="4"/>
    <x v="573"/>
    <s v="bbyrdha@4shared.com"/>
    <x v="0"/>
    <s v="Lib"/>
    <s v="M"/>
    <n v="2.5"/>
    <n v="33.464999999999996"/>
    <n v="133.85999999999999"/>
    <x v="3"/>
    <x v="0"/>
    <x v="1"/>
  </r>
  <r>
    <x v="595"/>
    <x v="353"/>
    <s v="01927-46702-YT"/>
    <s v="E-D-1"/>
    <n v="1"/>
    <x v="574"/>
    <s v=""/>
    <x v="2"/>
    <s v="Exc"/>
    <s v="D"/>
    <n v="1"/>
    <n v="12.15"/>
    <n v="12.15"/>
    <x v="1"/>
    <x v="2"/>
    <x v="1"/>
  </r>
  <r>
    <x v="596"/>
    <x v="199"/>
    <s v="80467-17137-TO"/>
    <s v="E-M-2.5"/>
    <n v="2"/>
    <x v="575"/>
    <s v="dchardinhc@nhs.uk"/>
    <x v="1"/>
    <s v="Exc"/>
    <s v="M"/>
    <n v="2.5"/>
    <n v="31.624999999999996"/>
    <n v="63.249999999999993"/>
    <x v="1"/>
    <x v="0"/>
    <x v="0"/>
  </r>
  <r>
    <x v="597"/>
    <x v="372"/>
    <s v="14640-87215-BK"/>
    <s v="R-L-0.5"/>
    <n v="5"/>
    <x v="576"/>
    <s v="hradbonehd@newsvine.com"/>
    <x v="0"/>
    <s v="Rob"/>
    <s v="L"/>
    <n v="0.5"/>
    <n v="7.169999999999999"/>
    <n v="35.849999999999994"/>
    <x v="0"/>
    <x v="1"/>
    <x v="1"/>
  </r>
  <r>
    <x v="598"/>
    <x v="267"/>
    <s v="94447-35885-HK"/>
    <s v="A-M-2.5"/>
    <n v="3"/>
    <x v="577"/>
    <s v="wbernthhe@miitbeian.gov.cn"/>
    <x v="0"/>
    <s v="Ara"/>
    <s v="M"/>
    <n v="2.5"/>
    <n v="25.874999999999996"/>
    <n v="77.624999999999986"/>
    <x v="2"/>
    <x v="0"/>
    <x v="1"/>
  </r>
  <r>
    <x v="599"/>
    <x v="480"/>
    <s v="71034-49694-CS"/>
    <s v="E-M-2.5"/>
    <n v="2"/>
    <x v="578"/>
    <s v="bacarsonhf@cnn.com"/>
    <x v="0"/>
    <s v="Exc"/>
    <s v="M"/>
    <n v="2.5"/>
    <n v="31.624999999999996"/>
    <n v="63.249999999999993"/>
    <x v="1"/>
    <x v="0"/>
    <x v="0"/>
  </r>
  <r>
    <x v="600"/>
    <x v="483"/>
    <s v="00445-42781-KX"/>
    <s v="E-L-0.2"/>
    <n v="6"/>
    <x v="579"/>
    <s v="fbrighamhg@blog.com"/>
    <x v="1"/>
    <s v="Exc"/>
    <s v="L"/>
    <n v="0.2"/>
    <n v="4.4550000000000001"/>
    <n v="26.73"/>
    <x v="1"/>
    <x v="1"/>
    <x v="0"/>
  </r>
  <r>
    <x v="600"/>
    <x v="483"/>
    <s v="00445-42781-KX"/>
    <s v="L-D-0.5"/>
    <n v="4"/>
    <x v="579"/>
    <s v="fbrighamhg@blog.com"/>
    <x v="1"/>
    <s v="Lib"/>
    <s v="D"/>
    <n v="0.5"/>
    <n v="7.77"/>
    <n v="31.08"/>
    <x v="3"/>
    <x v="2"/>
    <x v="0"/>
  </r>
  <r>
    <x v="600"/>
    <x v="483"/>
    <s v="00445-42781-KX"/>
    <s v="A-D-0.2"/>
    <n v="1"/>
    <x v="579"/>
    <s v="fbrighamhg@blog.com"/>
    <x v="1"/>
    <s v="Ara"/>
    <s v="D"/>
    <n v="0.2"/>
    <n v="2.9849999999999999"/>
    <n v="2.9849999999999999"/>
    <x v="2"/>
    <x v="2"/>
    <x v="0"/>
  </r>
  <r>
    <x v="600"/>
    <x v="483"/>
    <s v="00445-42781-KX"/>
    <s v="R-D-2.5"/>
    <n v="5"/>
    <x v="579"/>
    <s v="fbrighamhg@blog.com"/>
    <x v="1"/>
    <s v="Rob"/>
    <s v="D"/>
    <n v="2.5"/>
    <n v="20.584999999999997"/>
    <n v="102.92499999999998"/>
    <x v="0"/>
    <x v="2"/>
    <x v="0"/>
  </r>
  <r>
    <x v="601"/>
    <x v="484"/>
    <s v="96116-24737-LV"/>
    <s v="E-L-0.5"/>
    <n v="4"/>
    <x v="580"/>
    <s v="myoxenhk@google.com"/>
    <x v="0"/>
    <s v="Exc"/>
    <s v="L"/>
    <n v="0.5"/>
    <n v="8.91"/>
    <n v="35.64"/>
    <x v="1"/>
    <x v="1"/>
    <x v="1"/>
  </r>
  <r>
    <x v="602"/>
    <x v="485"/>
    <s v="18684-73088-YL"/>
    <s v="R-L-1"/>
    <n v="4"/>
    <x v="581"/>
    <s v="gmcgavinhl@histats.com"/>
    <x v="0"/>
    <s v="Rob"/>
    <s v="L"/>
    <n v="1"/>
    <n v="11.95"/>
    <n v="47.8"/>
    <x v="0"/>
    <x v="1"/>
    <x v="1"/>
  </r>
  <r>
    <x v="603"/>
    <x v="486"/>
    <s v="74671-55639-TU"/>
    <s v="L-M-1"/>
    <n v="3"/>
    <x v="582"/>
    <s v="luttermarehm@engadget.com"/>
    <x v="0"/>
    <s v="Lib"/>
    <s v="M"/>
    <n v="1"/>
    <n v="14.55"/>
    <n v="43.650000000000006"/>
    <x v="3"/>
    <x v="0"/>
    <x v="1"/>
  </r>
  <r>
    <x v="604"/>
    <x v="487"/>
    <s v="17488-65879-XL"/>
    <s v="E-L-0.5"/>
    <n v="4"/>
    <x v="583"/>
    <s v="edambrogiohn@techcrunch.com"/>
    <x v="0"/>
    <s v="Exc"/>
    <s v="L"/>
    <n v="0.5"/>
    <n v="8.91"/>
    <n v="35.64"/>
    <x v="1"/>
    <x v="1"/>
    <x v="0"/>
  </r>
  <r>
    <x v="605"/>
    <x v="488"/>
    <s v="46431-09298-OU"/>
    <s v="L-L-1"/>
    <n v="6"/>
    <x v="584"/>
    <s v="cwinchcombeho@jiathis.com"/>
    <x v="0"/>
    <s v="Lib"/>
    <s v="L"/>
    <n v="1"/>
    <n v="15.85"/>
    <n v="95.1"/>
    <x v="3"/>
    <x v="1"/>
    <x v="0"/>
  </r>
  <r>
    <x v="606"/>
    <x v="489"/>
    <s v="60378-26473-FE"/>
    <s v="E-M-2.5"/>
    <n v="1"/>
    <x v="585"/>
    <s v="bpaumierhp@umn.edu"/>
    <x v="1"/>
    <s v="Exc"/>
    <s v="M"/>
    <n v="2.5"/>
    <n v="31.624999999999996"/>
    <n v="31.624999999999996"/>
    <x v="1"/>
    <x v="0"/>
    <x v="0"/>
  </r>
  <r>
    <x v="607"/>
    <x v="162"/>
    <s v="34927-68586-ZV"/>
    <s v="A-M-2.5"/>
    <n v="3"/>
    <x v="586"/>
    <s v=""/>
    <x v="1"/>
    <s v="Ara"/>
    <s v="M"/>
    <n v="2.5"/>
    <n v="25.874999999999996"/>
    <n v="77.624999999999986"/>
    <x v="2"/>
    <x v="0"/>
    <x v="0"/>
  </r>
  <r>
    <x v="608"/>
    <x v="490"/>
    <s v="29051-27555-GD"/>
    <s v="L-D-0.2"/>
    <n v="1"/>
    <x v="587"/>
    <s v="jcapeyhr@bravesites.com"/>
    <x v="0"/>
    <s v="Lib"/>
    <s v="D"/>
    <n v="0.2"/>
    <n v="3.8849999999999998"/>
    <n v="3.8849999999999998"/>
    <x v="3"/>
    <x v="2"/>
    <x v="0"/>
  </r>
  <r>
    <x v="609"/>
    <x v="491"/>
    <s v="52143-35672-JF"/>
    <s v="R-L-2.5"/>
    <n v="5"/>
    <x v="588"/>
    <s v="tmathonneti0@google.co.jp"/>
    <x v="0"/>
    <s v="Rob"/>
    <s v="L"/>
    <n v="2.5"/>
    <n v="27.484999999999996"/>
    <n v="137.42499999999998"/>
    <x v="0"/>
    <x v="1"/>
    <x v="1"/>
  </r>
  <r>
    <x v="610"/>
    <x v="301"/>
    <s v="64918-67725-MN"/>
    <s v="R-L-1"/>
    <n v="3"/>
    <x v="589"/>
    <s v="ybasillht@theguardian.com"/>
    <x v="0"/>
    <s v="Rob"/>
    <s v="L"/>
    <n v="1"/>
    <n v="11.95"/>
    <n v="35.849999999999994"/>
    <x v="0"/>
    <x v="1"/>
    <x v="0"/>
  </r>
  <r>
    <x v="611"/>
    <x v="194"/>
    <s v="85634-61759-ND"/>
    <s v="E-M-0.2"/>
    <n v="2"/>
    <x v="590"/>
    <s v="mbaistowhu@i2i.jp"/>
    <x v="2"/>
    <s v="Exc"/>
    <s v="M"/>
    <n v="0.2"/>
    <n v="4.125"/>
    <n v="8.25"/>
    <x v="1"/>
    <x v="0"/>
    <x v="0"/>
  </r>
  <r>
    <x v="612"/>
    <x v="26"/>
    <s v="40180-22940-QB"/>
    <s v="E-L-2.5"/>
    <n v="3"/>
    <x v="591"/>
    <s v="cpallanthv@typepad.com"/>
    <x v="0"/>
    <s v="Exc"/>
    <s v="L"/>
    <n v="2.5"/>
    <n v="34.154999999999994"/>
    <n v="102.46499999999997"/>
    <x v="1"/>
    <x v="1"/>
    <x v="0"/>
  </r>
  <r>
    <x v="613"/>
    <x v="125"/>
    <s v="34666-76738-SQ"/>
    <s v="R-D-2.5"/>
    <n v="2"/>
    <x v="592"/>
    <s v=""/>
    <x v="0"/>
    <s v="Rob"/>
    <s v="D"/>
    <n v="2.5"/>
    <n v="20.584999999999997"/>
    <n v="41.169999999999995"/>
    <x v="0"/>
    <x v="2"/>
    <x v="1"/>
  </r>
  <r>
    <x v="614"/>
    <x v="492"/>
    <s v="98536-88616-FF"/>
    <s v="A-D-2.5"/>
    <n v="3"/>
    <x v="593"/>
    <s v="dohx@redcross.org"/>
    <x v="0"/>
    <s v="Ara"/>
    <s v="D"/>
    <n v="2.5"/>
    <n v="22.884999999999998"/>
    <n v="68.655000000000001"/>
    <x v="2"/>
    <x v="2"/>
    <x v="0"/>
  </r>
  <r>
    <x v="615"/>
    <x v="462"/>
    <s v="55621-06130-SA"/>
    <s v="A-D-1"/>
    <n v="1"/>
    <x v="594"/>
    <s v="drallinhy@howstuffworks.com"/>
    <x v="0"/>
    <s v="Ara"/>
    <s v="D"/>
    <n v="1"/>
    <n v="9.9499999999999993"/>
    <n v="9.9499999999999993"/>
    <x v="2"/>
    <x v="2"/>
    <x v="0"/>
  </r>
  <r>
    <x v="616"/>
    <x v="493"/>
    <s v="45666-86771-EH"/>
    <s v="L-L-0.5"/>
    <n v="3"/>
    <x v="595"/>
    <s v="achillhz@epa.gov"/>
    <x v="2"/>
    <s v="Lib"/>
    <s v="L"/>
    <n v="0.5"/>
    <n v="9.51"/>
    <n v="28.53"/>
    <x v="3"/>
    <x v="1"/>
    <x v="0"/>
  </r>
  <r>
    <x v="617"/>
    <x v="494"/>
    <s v="52143-35672-JF"/>
    <s v="R-D-0.2"/>
    <n v="6"/>
    <x v="588"/>
    <s v="tmathonneti0@google.co.jp"/>
    <x v="0"/>
    <s v="Rob"/>
    <s v="D"/>
    <n v="0.2"/>
    <n v="2.6849999999999996"/>
    <n v="16.11"/>
    <x v="0"/>
    <x v="2"/>
    <x v="1"/>
  </r>
  <r>
    <x v="618"/>
    <x v="495"/>
    <s v="24689-69376-XX"/>
    <s v="L-L-1"/>
    <n v="6"/>
    <x v="596"/>
    <s v="cdenysi1@is.gd"/>
    <x v="2"/>
    <s v="Lib"/>
    <s v="L"/>
    <n v="1"/>
    <n v="15.85"/>
    <n v="95.1"/>
    <x v="3"/>
    <x v="1"/>
    <x v="1"/>
  </r>
  <r>
    <x v="619"/>
    <x v="496"/>
    <s v="71891-51101-VQ"/>
    <s v="R-D-0.5"/>
    <n v="1"/>
    <x v="597"/>
    <s v="cstebbingsi2@drupal.org"/>
    <x v="0"/>
    <s v="Rob"/>
    <s v="D"/>
    <n v="0.5"/>
    <n v="5.3699999999999992"/>
    <n v="5.3699999999999992"/>
    <x v="0"/>
    <x v="2"/>
    <x v="0"/>
  </r>
  <r>
    <x v="620"/>
    <x v="497"/>
    <s v="71749-05400-CN"/>
    <s v="R-L-1"/>
    <n v="4"/>
    <x v="598"/>
    <s v=""/>
    <x v="0"/>
    <s v="Rob"/>
    <s v="L"/>
    <n v="1"/>
    <n v="11.95"/>
    <n v="47.8"/>
    <x v="0"/>
    <x v="1"/>
    <x v="1"/>
  </r>
  <r>
    <x v="621"/>
    <x v="498"/>
    <s v="64845-00270-NO"/>
    <s v="L-L-1"/>
    <n v="4"/>
    <x v="599"/>
    <s v="rzywickii4@ifeng.com"/>
    <x v="1"/>
    <s v="Lib"/>
    <s v="L"/>
    <n v="1"/>
    <n v="15.85"/>
    <n v="63.4"/>
    <x v="3"/>
    <x v="1"/>
    <x v="1"/>
  </r>
  <r>
    <x v="622"/>
    <x v="382"/>
    <s v="29851-36402-UX"/>
    <s v="A-M-2.5"/>
    <n v="4"/>
    <x v="600"/>
    <s v="aburgetti5@moonfruit.com"/>
    <x v="0"/>
    <s v="Ara"/>
    <s v="M"/>
    <n v="2.5"/>
    <n v="25.874999999999996"/>
    <n v="103.49999999999999"/>
    <x v="2"/>
    <x v="0"/>
    <x v="1"/>
  </r>
  <r>
    <x v="623"/>
    <x v="499"/>
    <s v="12190-25421-WM"/>
    <s v="A-D-2.5"/>
    <n v="3"/>
    <x v="601"/>
    <s v="mmalloyi6@seattletimes.com"/>
    <x v="0"/>
    <s v="Ara"/>
    <s v="D"/>
    <n v="2.5"/>
    <n v="22.884999999999998"/>
    <n v="68.655000000000001"/>
    <x v="2"/>
    <x v="2"/>
    <x v="1"/>
  </r>
  <r>
    <x v="624"/>
    <x v="500"/>
    <s v="52316-30571-GD"/>
    <s v="R-M-2.5"/>
    <n v="2"/>
    <x v="602"/>
    <s v="mmcparlandi7@w3.org"/>
    <x v="0"/>
    <s v="Rob"/>
    <s v="M"/>
    <n v="2.5"/>
    <n v="22.884999999999998"/>
    <n v="45.769999999999996"/>
    <x v="0"/>
    <x v="0"/>
    <x v="0"/>
  </r>
  <r>
    <x v="625"/>
    <x v="501"/>
    <s v="23243-92649-RY"/>
    <s v="L-D-1"/>
    <n v="4"/>
    <x v="603"/>
    <s v="sjennaroyi8@purevolume.com"/>
    <x v="0"/>
    <s v="Lib"/>
    <s v="D"/>
    <n v="1"/>
    <n v="12.95"/>
    <n v="51.8"/>
    <x v="3"/>
    <x v="2"/>
    <x v="1"/>
  </r>
  <r>
    <x v="626"/>
    <x v="502"/>
    <s v="39528-19971-OR"/>
    <s v="A-M-0.5"/>
    <n v="2"/>
    <x v="604"/>
    <s v="wplacei9@wsj.com"/>
    <x v="0"/>
    <s v="Ara"/>
    <s v="M"/>
    <n v="0.5"/>
    <n v="6.75"/>
    <n v="13.5"/>
    <x v="2"/>
    <x v="0"/>
    <x v="0"/>
  </r>
  <r>
    <x v="627"/>
    <x v="503"/>
    <s v="32743-78448-KT"/>
    <s v="E-M-0.5"/>
    <n v="3"/>
    <x v="605"/>
    <s v="jmillettik@addtoany.com"/>
    <x v="0"/>
    <s v="Exc"/>
    <s v="M"/>
    <n v="0.5"/>
    <n v="8.25"/>
    <n v="24.75"/>
    <x v="1"/>
    <x v="0"/>
    <x v="0"/>
  </r>
  <r>
    <x v="628"/>
    <x v="504"/>
    <s v="93417-12322-YB"/>
    <s v="A-D-2.5"/>
    <n v="2"/>
    <x v="606"/>
    <s v="dgadsdenib@google.com.hk"/>
    <x v="1"/>
    <s v="Ara"/>
    <s v="D"/>
    <n v="2.5"/>
    <n v="22.884999999999998"/>
    <n v="45.769999999999996"/>
    <x v="2"/>
    <x v="2"/>
    <x v="0"/>
  </r>
  <r>
    <x v="629"/>
    <x v="497"/>
    <s v="56891-86662-UY"/>
    <s v="E-L-0.5"/>
    <n v="6"/>
    <x v="607"/>
    <s v="vwakelinic@unesco.org"/>
    <x v="0"/>
    <s v="Exc"/>
    <s v="L"/>
    <n v="0.5"/>
    <n v="8.91"/>
    <n v="53.46"/>
    <x v="1"/>
    <x v="1"/>
    <x v="1"/>
  </r>
  <r>
    <x v="630"/>
    <x v="501"/>
    <s v="40414-26467-VE"/>
    <s v="A-M-0.2"/>
    <n v="6"/>
    <x v="608"/>
    <s v="acampsallid@zimbio.com"/>
    <x v="0"/>
    <s v="Ara"/>
    <s v="M"/>
    <n v="0.2"/>
    <n v="3.375"/>
    <n v="20.25"/>
    <x v="2"/>
    <x v="0"/>
    <x v="0"/>
  </r>
  <r>
    <x v="631"/>
    <x v="1"/>
    <s v="87858-83734-RK"/>
    <s v="L-D-2.5"/>
    <n v="5"/>
    <x v="609"/>
    <s v="smosebyie@stanford.edu"/>
    <x v="0"/>
    <s v="Lib"/>
    <s v="D"/>
    <n v="2.5"/>
    <n v="29.784999999999997"/>
    <n v="148.92499999999998"/>
    <x v="3"/>
    <x v="2"/>
    <x v="1"/>
  </r>
  <r>
    <x v="632"/>
    <x v="505"/>
    <s v="46818-20198-GB"/>
    <s v="A-M-1"/>
    <n v="6"/>
    <x v="610"/>
    <s v="cwassif@prweb.com"/>
    <x v="0"/>
    <s v="Ara"/>
    <s v="M"/>
    <n v="1"/>
    <n v="11.25"/>
    <n v="67.5"/>
    <x v="2"/>
    <x v="0"/>
    <x v="1"/>
  </r>
  <r>
    <x v="633"/>
    <x v="506"/>
    <s v="29808-89098-XD"/>
    <s v="E-D-1"/>
    <n v="6"/>
    <x v="611"/>
    <s v="isjostromig@pbs.org"/>
    <x v="0"/>
    <s v="Exc"/>
    <s v="D"/>
    <n v="1"/>
    <n v="12.15"/>
    <n v="72.900000000000006"/>
    <x v="1"/>
    <x v="2"/>
    <x v="1"/>
  </r>
  <r>
    <x v="633"/>
    <x v="506"/>
    <s v="29808-89098-XD"/>
    <s v="L-D-0.2"/>
    <n v="2"/>
    <x v="611"/>
    <s v="isjostromig@pbs.org"/>
    <x v="0"/>
    <s v="Lib"/>
    <s v="D"/>
    <n v="0.2"/>
    <n v="3.8849999999999998"/>
    <n v="7.77"/>
    <x v="3"/>
    <x v="2"/>
    <x v="1"/>
  </r>
  <r>
    <x v="634"/>
    <x v="507"/>
    <s v="78786-77449-RQ"/>
    <s v="A-D-2.5"/>
    <n v="4"/>
    <x v="612"/>
    <s v="jbranchettii@bravesites.com"/>
    <x v="0"/>
    <s v="Ara"/>
    <s v="D"/>
    <n v="2.5"/>
    <n v="22.884999999999998"/>
    <n v="91.539999999999992"/>
    <x v="2"/>
    <x v="2"/>
    <x v="1"/>
  </r>
  <r>
    <x v="635"/>
    <x v="508"/>
    <s v="27878-42224-QF"/>
    <s v="A-D-1"/>
    <n v="6"/>
    <x v="613"/>
    <s v="nrudlandij@blogs.com"/>
    <x v="1"/>
    <s v="Ara"/>
    <s v="D"/>
    <n v="1"/>
    <n v="9.9499999999999993"/>
    <n v="59.699999999999996"/>
    <x v="2"/>
    <x v="2"/>
    <x v="1"/>
  </r>
  <r>
    <x v="636"/>
    <x v="509"/>
    <s v="32743-78448-KT"/>
    <s v="R-L-2.5"/>
    <n v="5"/>
    <x v="605"/>
    <s v="jmillettik@addtoany.com"/>
    <x v="0"/>
    <s v="Rob"/>
    <s v="L"/>
    <n v="2.5"/>
    <n v="27.484999999999996"/>
    <n v="137.42499999999998"/>
    <x v="0"/>
    <x v="1"/>
    <x v="0"/>
  </r>
  <r>
    <x v="637"/>
    <x v="131"/>
    <s v="25331-13794-SB"/>
    <s v="L-M-2.5"/>
    <n v="2"/>
    <x v="614"/>
    <s v="ftourryil@google.de"/>
    <x v="0"/>
    <s v="Lib"/>
    <s v="M"/>
    <n v="2.5"/>
    <n v="33.464999999999996"/>
    <n v="66.929999999999993"/>
    <x v="3"/>
    <x v="0"/>
    <x v="1"/>
  </r>
  <r>
    <x v="638"/>
    <x v="510"/>
    <s v="55864-37682-GQ"/>
    <s v="L-M-0.2"/>
    <n v="3"/>
    <x v="615"/>
    <s v="cweatherallim@toplist.cz"/>
    <x v="0"/>
    <s v="Lib"/>
    <s v="M"/>
    <n v="0.2"/>
    <n v="4.3650000000000002"/>
    <n v="13.095000000000001"/>
    <x v="3"/>
    <x v="0"/>
    <x v="0"/>
  </r>
  <r>
    <x v="639"/>
    <x v="511"/>
    <s v="97005-25609-CQ"/>
    <s v="R-L-1"/>
    <n v="5"/>
    <x v="616"/>
    <s v="gheindrickin@usda.gov"/>
    <x v="0"/>
    <s v="Rob"/>
    <s v="L"/>
    <n v="1"/>
    <n v="11.95"/>
    <n v="59.75"/>
    <x v="0"/>
    <x v="1"/>
    <x v="1"/>
  </r>
  <r>
    <x v="640"/>
    <x v="512"/>
    <s v="94058-95794-IJ"/>
    <s v="L-M-0.5"/>
    <n v="5"/>
    <x v="617"/>
    <s v="limasonio@discuz.net"/>
    <x v="0"/>
    <s v="Lib"/>
    <s v="M"/>
    <n v="0.5"/>
    <n v="8.73"/>
    <n v="43.650000000000006"/>
    <x v="3"/>
    <x v="0"/>
    <x v="0"/>
  </r>
  <r>
    <x v="641"/>
    <x v="513"/>
    <s v="40214-03678-GU"/>
    <s v="E-M-1"/>
    <n v="6"/>
    <x v="618"/>
    <s v="hsaillip@odnoklassniki.ru"/>
    <x v="0"/>
    <s v="Exc"/>
    <s v="M"/>
    <n v="1"/>
    <n v="13.75"/>
    <n v="82.5"/>
    <x v="1"/>
    <x v="0"/>
    <x v="0"/>
  </r>
  <r>
    <x v="642"/>
    <x v="514"/>
    <s v="04921-85445-SL"/>
    <s v="A-L-2.5"/>
    <n v="6"/>
    <x v="619"/>
    <s v="hlarvoriq@last.fm"/>
    <x v="0"/>
    <s v="Ara"/>
    <s v="L"/>
    <n v="2.5"/>
    <n v="29.784999999999997"/>
    <n v="178.70999999999998"/>
    <x v="2"/>
    <x v="1"/>
    <x v="0"/>
  </r>
  <r>
    <x v="643"/>
    <x v="7"/>
    <s v="53386-94266-LJ"/>
    <s v="L-D-2.5"/>
    <n v="4"/>
    <x v="620"/>
    <s v=""/>
    <x v="0"/>
    <s v="Lib"/>
    <s v="D"/>
    <n v="2.5"/>
    <n v="29.784999999999997"/>
    <n v="119.13999999999999"/>
    <x v="3"/>
    <x v="2"/>
    <x v="0"/>
  </r>
  <r>
    <x v="644"/>
    <x v="481"/>
    <s v="49480-85909-DG"/>
    <s v="L-L-0.5"/>
    <n v="5"/>
    <x v="621"/>
    <s v=""/>
    <x v="0"/>
    <s v="Lib"/>
    <s v="L"/>
    <n v="0.5"/>
    <n v="9.51"/>
    <n v="47.55"/>
    <x v="3"/>
    <x v="1"/>
    <x v="1"/>
  </r>
  <r>
    <x v="645"/>
    <x v="515"/>
    <s v="18293-78136-MN"/>
    <s v="L-M-0.5"/>
    <n v="5"/>
    <x v="622"/>
    <s v="cpenwardenit@mlb.com"/>
    <x v="1"/>
    <s v="Lib"/>
    <s v="M"/>
    <n v="0.5"/>
    <n v="8.73"/>
    <n v="43.650000000000006"/>
    <x v="3"/>
    <x v="0"/>
    <x v="1"/>
  </r>
  <r>
    <x v="646"/>
    <x v="516"/>
    <s v="84641-67384-TD"/>
    <s v="A-L-2.5"/>
    <n v="6"/>
    <x v="623"/>
    <s v="mmiddisiu@dmoz.org"/>
    <x v="0"/>
    <s v="Ara"/>
    <s v="L"/>
    <n v="2.5"/>
    <n v="29.784999999999997"/>
    <n v="178.70999999999998"/>
    <x v="2"/>
    <x v="1"/>
    <x v="0"/>
  </r>
  <r>
    <x v="647"/>
    <x v="517"/>
    <s v="72320-29738-EB"/>
    <s v="R-L-2.5"/>
    <n v="1"/>
    <x v="624"/>
    <s v="avairowiv@studiopress.com"/>
    <x v="2"/>
    <s v="Rob"/>
    <s v="L"/>
    <n v="2.5"/>
    <n v="27.484999999999996"/>
    <n v="27.484999999999996"/>
    <x v="0"/>
    <x v="1"/>
    <x v="1"/>
  </r>
  <r>
    <x v="648"/>
    <x v="518"/>
    <s v="47355-97488-XS"/>
    <s v="A-M-1"/>
    <n v="5"/>
    <x v="625"/>
    <s v="agoldieiw@goo.gl"/>
    <x v="0"/>
    <s v="Ara"/>
    <s v="M"/>
    <n v="1"/>
    <n v="11.25"/>
    <n v="56.25"/>
    <x v="2"/>
    <x v="0"/>
    <x v="1"/>
  </r>
  <r>
    <x v="649"/>
    <x v="519"/>
    <s v="63499-24884-PP"/>
    <s v="L-L-0.2"/>
    <n v="2"/>
    <x v="626"/>
    <s v="nayrisix@t-online.de"/>
    <x v="2"/>
    <s v="Lib"/>
    <s v="L"/>
    <n v="0.2"/>
    <n v="4.7549999999999999"/>
    <n v="9.51"/>
    <x v="3"/>
    <x v="1"/>
    <x v="0"/>
  </r>
  <r>
    <x v="650"/>
    <x v="520"/>
    <s v="39193-51770-FM"/>
    <s v="E-M-0.2"/>
    <n v="2"/>
    <x v="627"/>
    <s v="lbenediktovichiy@wunderground.com"/>
    <x v="0"/>
    <s v="Exc"/>
    <s v="M"/>
    <n v="0.2"/>
    <n v="4.125"/>
    <n v="8.25"/>
    <x v="1"/>
    <x v="0"/>
    <x v="0"/>
  </r>
  <r>
    <x v="651"/>
    <x v="521"/>
    <s v="61323-91967-GG"/>
    <s v="L-D-0.5"/>
    <n v="6"/>
    <x v="628"/>
    <s v="tjacobovitziz@cbc.ca"/>
    <x v="0"/>
    <s v="Lib"/>
    <s v="D"/>
    <n v="0.5"/>
    <n v="7.77"/>
    <n v="46.62"/>
    <x v="3"/>
    <x v="2"/>
    <x v="1"/>
  </r>
  <r>
    <x v="652"/>
    <x v="418"/>
    <s v="90123-01967-KS"/>
    <s v="R-L-1"/>
    <n v="6"/>
    <x v="629"/>
    <s v=""/>
    <x v="0"/>
    <s v="Rob"/>
    <s v="L"/>
    <n v="1"/>
    <n v="11.95"/>
    <n v="71.699999999999989"/>
    <x v="0"/>
    <x v="1"/>
    <x v="1"/>
  </r>
  <r>
    <x v="653"/>
    <x v="122"/>
    <s v="15958-25089-OS"/>
    <s v="L-L-2.5"/>
    <n v="2"/>
    <x v="630"/>
    <s v="jdruittj1@feedburner.com"/>
    <x v="0"/>
    <s v="Lib"/>
    <s v="L"/>
    <n v="2.5"/>
    <n v="36.454999999999998"/>
    <n v="72.91"/>
    <x v="3"/>
    <x v="1"/>
    <x v="0"/>
  </r>
  <r>
    <x v="654"/>
    <x v="423"/>
    <s v="98430-37820-UV"/>
    <s v="R-D-0.2"/>
    <n v="3"/>
    <x v="631"/>
    <s v="dshortallj2@wikipedia.org"/>
    <x v="0"/>
    <s v="Rob"/>
    <s v="D"/>
    <n v="0.2"/>
    <n v="2.6849999999999996"/>
    <n v="8.0549999999999997"/>
    <x v="0"/>
    <x v="2"/>
    <x v="0"/>
  </r>
  <r>
    <x v="655"/>
    <x v="463"/>
    <s v="21798-04171-XC"/>
    <s v="E-M-0.5"/>
    <n v="2"/>
    <x v="632"/>
    <s v="wcottierj3@cafepress.com"/>
    <x v="0"/>
    <s v="Exc"/>
    <s v="M"/>
    <n v="0.5"/>
    <n v="8.25"/>
    <n v="16.5"/>
    <x v="1"/>
    <x v="0"/>
    <x v="1"/>
  </r>
  <r>
    <x v="656"/>
    <x v="273"/>
    <s v="52798-46508-HP"/>
    <s v="A-L-1"/>
    <n v="5"/>
    <x v="633"/>
    <s v="kgrinstedj4@google.com.br"/>
    <x v="1"/>
    <s v="Ara"/>
    <s v="L"/>
    <n v="1"/>
    <n v="12.95"/>
    <n v="64.75"/>
    <x v="2"/>
    <x v="1"/>
    <x v="1"/>
  </r>
  <r>
    <x v="657"/>
    <x v="522"/>
    <s v="46478-42970-EM"/>
    <s v="A-M-0.5"/>
    <n v="5"/>
    <x v="634"/>
    <s v="dskynerj5@hubpages.com"/>
    <x v="0"/>
    <s v="Ara"/>
    <s v="M"/>
    <n v="0.5"/>
    <n v="6.75"/>
    <n v="33.75"/>
    <x v="2"/>
    <x v="0"/>
    <x v="1"/>
  </r>
  <r>
    <x v="658"/>
    <x v="523"/>
    <s v="00246-15080-LE"/>
    <s v="L-D-2.5"/>
    <n v="6"/>
    <x v="635"/>
    <s v=""/>
    <x v="0"/>
    <s v="Lib"/>
    <s v="D"/>
    <n v="2.5"/>
    <n v="29.784999999999997"/>
    <n v="178.70999999999998"/>
    <x v="3"/>
    <x v="2"/>
    <x v="1"/>
  </r>
  <r>
    <x v="659"/>
    <x v="260"/>
    <s v="94091-86957-HX"/>
    <s v="A-M-1"/>
    <n v="2"/>
    <x v="636"/>
    <s v="jdymokeje@prnewswire.com"/>
    <x v="1"/>
    <s v="Ara"/>
    <s v="M"/>
    <n v="1"/>
    <n v="11.25"/>
    <n v="22.5"/>
    <x v="2"/>
    <x v="0"/>
    <x v="1"/>
  </r>
  <r>
    <x v="660"/>
    <x v="331"/>
    <s v="26295-44907-DK"/>
    <s v="L-D-1"/>
    <n v="1"/>
    <x v="637"/>
    <s v="aweinmannj8@shinystat.com"/>
    <x v="0"/>
    <s v="Lib"/>
    <s v="D"/>
    <n v="1"/>
    <n v="12.95"/>
    <n v="12.95"/>
    <x v="3"/>
    <x v="2"/>
    <x v="1"/>
  </r>
  <r>
    <x v="661"/>
    <x v="524"/>
    <s v="95351-96177-QV"/>
    <s v="A-M-2.5"/>
    <n v="2"/>
    <x v="638"/>
    <s v="eandriessenj9@europa.eu"/>
    <x v="0"/>
    <s v="Ara"/>
    <s v="M"/>
    <n v="2.5"/>
    <n v="25.874999999999996"/>
    <n v="51.749999999999993"/>
    <x v="2"/>
    <x v="0"/>
    <x v="0"/>
  </r>
  <r>
    <x v="662"/>
    <x v="525"/>
    <s v="92204-96636-BS"/>
    <s v="E-D-0.5"/>
    <n v="5"/>
    <x v="639"/>
    <s v="rdeaconsonja@archive.org"/>
    <x v="0"/>
    <s v="Exc"/>
    <s v="D"/>
    <n v="0.5"/>
    <n v="7.29"/>
    <n v="36.450000000000003"/>
    <x v="1"/>
    <x v="2"/>
    <x v="1"/>
  </r>
  <r>
    <x v="663"/>
    <x v="526"/>
    <s v="03010-30348-UA"/>
    <s v="L-L-2.5"/>
    <n v="5"/>
    <x v="640"/>
    <s v="dcarojb@twitter.com"/>
    <x v="0"/>
    <s v="Lib"/>
    <s v="L"/>
    <n v="2.5"/>
    <n v="36.454999999999998"/>
    <n v="182.27499999999998"/>
    <x v="3"/>
    <x v="1"/>
    <x v="0"/>
  </r>
  <r>
    <x v="664"/>
    <x v="104"/>
    <s v="13441-34686-SW"/>
    <s v="L-D-0.5"/>
    <n v="4"/>
    <x v="641"/>
    <s v="jbluckjc@imageshack.us"/>
    <x v="0"/>
    <s v="Lib"/>
    <s v="D"/>
    <n v="0.5"/>
    <n v="7.77"/>
    <n v="31.08"/>
    <x v="3"/>
    <x v="2"/>
    <x v="1"/>
  </r>
  <r>
    <x v="665"/>
    <x v="491"/>
    <s v="96612-41722-VJ"/>
    <s v="A-M-0.5"/>
    <n v="3"/>
    <x v="642"/>
    <s v=""/>
    <x v="1"/>
    <s v="Ara"/>
    <s v="M"/>
    <n v="0.5"/>
    <n v="6.75"/>
    <n v="20.25"/>
    <x v="2"/>
    <x v="0"/>
    <x v="1"/>
  </r>
  <r>
    <x v="666"/>
    <x v="157"/>
    <s v="94091-86957-HX"/>
    <s v="L-D-1"/>
    <n v="2"/>
    <x v="636"/>
    <s v="jdymokeje@prnewswire.com"/>
    <x v="1"/>
    <s v="Lib"/>
    <s v="D"/>
    <n v="1"/>
    <n v="12.95"/>
    <n v="25.9"/>
    <x v="3"/>
    <x v="2"/>
    <x v="1"/>
  </r>
  <r>
    <x v="667"/>
    <x v="527"/>
    <s v="25504-41681-WA"/>
    <s v="A-D-0.5"/>
    <n v="4"/>
    <x v="643"/>
    <s v="otadmanjf@ft.com"/>
    <x v="0"/>
    <s v="Ara"/>
    <s v="D"/>
    <n v="0.5"/>
    <n v="5.97"/>
    <n v="23.88"/>
    <x v="2"/>
    <x v="2"/>
    <x v="0"/>
  </r>
  <r>
    <x v="668"/>
    <x v="528"/>
    <s v="75443-07820-DZ"/>
    <s v="L-L-0.5"/>
    <n v="2"/>
    <x v="644"/>
    <s v="bguddejg@dailymotion.com"/>
    <x v="0"/>
    <s v="Lib"/>
    <s v="L"/>
    <n v="0.5"/>
    <n v="9.51"/>
    <n v="19.02"/>
    <x v="3"/>
    <x v="1"/>
    <x v="1"/>
  </r>
  <r>
    <x v="669"/>
    <x v="99"/>
    <s v="39276-95489-XV"/>
    <s v="A-D-0.5"/>
    <n v="5"/>
    <x v="645"/>
    <s v="nsictornesjh@buzzfeed.com"/>
    <x v="1"/>
    <s v="Ara"/>
    <s v="D"/>
    <n v="0.5"/>
    <n v="5.97"/>
    <n v="29.849999999999998"/>
    <x v="2"/>
    <x v="2"/>
    <x v="0"/>
  </r>
  <r>
    <x v="670"/>
    <x v="529"/>
    <s v="61437-83623-PZ"/>
    <s v="A-L-0.5"/>
    <n v="1"/>
    <x v="646"/>
    <s v="vdunningji@independent.co.uk"/>
    <x v="0"/>
    <s v="Ara"/>
    <s v="L"/>
    <n v="0.5"/>
    <n v="7.77"/>
    <n v="7.77"/>
    <x v="2"/>
    <x v="1"/>
    <x v="0"/>
  </r>
  <r>
    <x v="671"/>
    <x v="530"/>
    <s v="34317-87258-HQ"/>
    <s v="L-D-2.5"/>
    <n v="4"/>
    <x v="647"/>
    <s v=""/>
    <x v="1"/>
    <s v="Lib"/>
    <s v="D"/>
    <n v="2.5"/>
    <n v="29.784999999999997"/>
    <n v="119.13999999999999"/>
    <x v="3"/>
    <x v="2"/>
    <x v="0"/>
  </r>
  <r>
    <x v="672"/>
    <x v="531"/>
    <s v="18570-80998-ZS"/>
    <s v="E-D-0.2"/>
    <n v="6"/>
    <x v="648"/>
    <s v=""/>
    <x v="0"/>
    <s v="Exc"/>
    <s v="D"/>
    <n v="0.2"/>
    <n v="3.645"/>
    <n v="21.87"/>
    <x v="1"/>
    <x v="2"/>
    <x v="0"/>
  </r>
  <r>
    <x v="673"/>
    <x v="210"/>
    <s v="66580-33745-OQ"/>
    <s v="E-L-0.5"/>
    <n v="2"/>
    <x v="649"/>
    <s v="sgehringjl@gnu.org"/>
    <x v="0"/>
    <s v="Exc"/>
    <s v="L"/>
    <n v="0.5"/>
    <n v="8.91"/>
    <n v="17.82"/>
    <x v="1"/>
    <x v="1"/>
    <x v="1"/>
  </r>
  <r>
    <x v="674"/>
    <x v="532"/>
    <s v="19820-29285-FD"/>
    <s v="E-M-0.2"/>
    <n v="3"/>
    <x v="650"/>
    <s v="bfallowesjm@purevolume.com"/>
    <x v="0"/>
    <s v="Exc"/>
    <s v="M"/>
    <n v="0.2"/>
    <n v="4.125"/>
    <n v="12.375"/>
    <x v="1"/>
    <x v="0"/>
    <x v="1"/>
  </r>
  <r>
    <x v="675"/>
    <x v="533"/>
    <s v="11349-55147-SN"/>
    <s v="L-D-1"/>
    <n v="2"/>
    <x v="651"/>
    <s v=""/>
    <x v="1"/>
    <s v="Lib"/>
    <s v="D"/>
    <n v="1"/>
    <n v="12.95"/>
    <n v="25.9"/>
    <x v="3"/>
    <x v="2"/>
    <x v="1"/>
  </r>
  <r>
    <x v="676"/>
    <x v="534"/>
    <s v="21141-12455-VB"/>
    <s v="A-M-0.5"/>
    <n v="2"/>
    <x v="652"/>
    <s v="sdejo@newsvine.com"/>
    <x v="0"/>
    <s v="Ara"/>
    <s v="M"/>
    <n v="0.5"/>
    <n v="6.75"/>
    <n v="13.5"/>
    <x v="2"/>
    <x v="0"/>
    <x v="0"/>
  </r>
  <r>
    <x v="677"/>
    <x v="535"/>
    <s v="71003-85639-HB"/>
    <s v="E-L-0.5"/>
    <n v="2"/>
    <x v="653"/>
    <s v=""/>
    <x v="0"/>
    <s v="Exc"/>
    <s v="L"/>
    <n v="0.5"/>
    <n v="8.91"/>
    <n v="17.82"/>
    <x v="1"/>
    <x v="1"/>
    <x v="0"/>
  </r>
  <r>
    <x v="678"/>
    <x v="536"/>
    <s v="58443-95866-YO"/>
    <s v="E-M-0.5"/>
    <n v="3"/>
    <x v="654"/>
    <s v="scountjq@nba.com"/>
    <x v="0"/>
    <s v="Exc"/>
    <s v="M"/>
    <n v="0.5"/>
    <n v="8.25"/>
    <n v="24.75"/>
    <x v="1"/>
    <x v="0"/>
    <x v="1"/>
  </r>
  <r>
    <x v="679"/>
    <x v="537"/>
    <s v="89646-21249-OH"/>
    <s v="R-M-0.2"/>
    <n v="6"/>
    <x v="655"/>
    <s v="sraglesjr@blogtalkradio.com"/>
    <x v="0"/>
    <s v="Rob"/>
    <s v="M"/>
    <n v="0.2"/>
    <n v="2.9849999999999999"/>
    <n v="17.91"/>
    <x v="0"/>
    <x v="0"/>
    <x v="1"/>
  </r>
  <r>
    <x v="680"/>
    <x v="61"/>
    <s v="64988-20636-XQ"/>
    <s v="E-M-0.5"/>
    <n v="2"/>
    <x v="656"/>
    <s v=""/>
    <x v="2"/>
    <s v="Exc"/>
    <s v="M"/>
    <n v="0.5"/>
    <n v="8.25"/>
    <n v="16.5"/>
    <x v="1"/>
    <x v="0"/>
    <x v="1"/>
  </r>
  <r>
    <x v="681"/>
    <x v="242"/>
    <s v="34704-83143-KS"/>
    <s v="R-M-0.2"/>
    <n v="1"/>
    <x v="657"/>
    <s v="sbruunjt@blogtalkradio.com"/>
    <x v="0"/>
    <s v="Rob"/>
    <s v="M"/>
    <n v="0.2"/>
    <n v="2.9849999999999999"/>
    <n v="2.9849999999999999"/>
    <x v="0"/>
    <x v="0"/>
    <x v="1"/>
  </r>
  <r>
    <x v="682"/>
    <x v="299"/>
    <s v="67388-17544-XX"/>
    <s v="E-D-0.2"/>
    <n v="4"/>
    <x v="658"/>
    <s v="aplluju@dagondesign.com"/>
    <x v="1"/>
    <s v="Exc"/>
    <s v="D"/>
    <n v="0.2"/>
    <n v="3.645"/>
    <n v="14.58"/>
    <x v="1"/>
    <x v="2"/>
    <x v="0"/>
  </r>
  <r>
    <x v="683"/>
    <x v="343"/>
    <s v="69411-48470-ID"/>
    <s v="E-L-1"/>
    <n v="6"/>
    <x v="659"/>
    <s v="gcornierjv@techcrunch.com"/>
    <x v="0"/>
    <s v="Exc"/>
    <s v="L"/>
    <n v="1"/>
    <n v="14.85"/>
    <n v="89.1"/>
    <x v="1"/>
    <x v="1"/>
    <x v="1"/>
  </r>
  <r>
    <x v="684"/>
    <x v="538"/>
    <s v="94091-86957-HX"/>
    <s v="R-L-1"/>
    <n v="3"/>
    <x v="636"/>
    <s v="jdymokeje@prnewswire.com"/>
    <x v="1"/>
    <s v="Rob"/>
    <s v="L"/>
    <n v="1"/>
    <n v="11.95"/>
    <n v="35.849999999999994"/>
    <x v="0"/>
    <x v="1"/>
    <x v="1"/>
  </r>
  <r>
    <x v="685"/>
    <x v="539"/>
    <s v="97741-98924-KT"/>
    <s v="A-D-2.5"/>
    <n v="3"/>
    <x v="660"/>
    <s v="wharvisonjx@gizmodo.com"/>
    <x v="0"/>
    <s v="Ara"/>
    <s v="D"/>
    <n v="2.5"/>
    <n v="22.884999999999998"/>
    <n v="68.655000000000001"/>
    <x v="2"/>
    <x v="2"/>
    <x v="1"/>
  </r>
  <r>
    <x v="686"/>
    <x v="27"/>
    <s v="79857-78167-KO"/>
    <s v="L-D-1"/>
    <n v="3"/>
    <x v="661"/>
    <s v="dheafordjy@twitpic.com"/>
    <x v="0"/>
    <s v="Lib"/>
    <s v="D"/>
    <n v="1"/>
    <n v="12.95"/>
    <n v="38.849999999999994"/>
    <x v="3"/>
    <x v="2"/>
    <x v="1"/>
  </r>
  <r>
    <x v="687"/>
    <x v="540"/>
    <s v="46963-10322-ZA"/>
    <s v="L-L-1"/>
    <n v="5"/>
    <x v="662"/>
    <s v="gfanthamjz@hexun.com"/>
    <x v="0"/>
    <s v="Lib"/>
    <s v="L"/>
    <n v="1"/>
    <n v="15.85"/>
    <n v="79.25"/>
    <x v="3"/>
    <x v="1"/>
    <x v="0"/>
  </r>
  <r>
    <x v="688"/>
    <x v="541"/>
    <s v="93812-74772-MV"/>
    <s v="E-D-0.5"/>
    <n v="5"/>
    <x v="663"/>
    <s v="rcrookshanksk0@unc.edu"/>
    <x v="0"/>
    <s v="Exc"/>
    <s v="D"/>
    <n v="0.5"/>
    <n v="7.29"/>
    <n v="36.450000000000003"/>
    <x v="1"/>
    <x v="2"/>
    <x v="0"/>
  </r>
  <r>
    <x v="689"/>
    <x v="390"/>
    <s v="48203-23480-UB"/>
    <s v="R-M-0.2"/>
    <n v="3"/>
    <x v="664"/>
    <s v="nleakek1@cmu.edu"/>
    <x v="0"/>
    <s v="Rob"/>
    <s v="M"/>
    <n v="0.2"/>
    <n v="2.9849999999999999"/>
    <n v="8.9550000000000001"/>
    <x v="0"/>
    <x v="0"/>
    <x v="0"/>
  </r>
  <r>
    <x v="690"/>
    <x v="396"/>
    <s v="60357-65386-RD"/>
    <s v="E-D-1"/>
    <n v="2"/>
    <x v="665"/>
    <s v=""/>
    <x v="0"/>
    <s v="Exc"/>
    <s v="D"/>
    <n v="1"/>
    <n v="12.15"/>
    <n v="24.3"/>
    <x v="1"/>
    <x v="2"/>
    <x v="1"/>
  </r>
  <r>
    <x v="691"/>
    <x v="185"/>
    <s v="35099-13971-JI"/>
    <s v="E-M-2.5"/>
    <n v="2"/>
    <x v="666"/>
    <s v="geilhersenk3@networksolutions.com"/>
    <x v="0"/>
    <s v="Exc"/>
    <s v="M"/>
    <n v="2.5"/>
    <n v="31.624999999999996"/>
    <n v="63.249999999999993"/>
    <x v="1"/>
    <x v="0"/>
    <x v="1"/>
  </r>
  <r>
    <x v="692"/>
    <x v="542"/>
    <s v="01304-59807-OB"/>
    <s v="A-M-0.2"/>
    <n v="2"/>
    <x v="667"/>
    <s v=""/>
    <x v="0"/>
    <s v="Ara"/>
    <s v="M"/>
    <n v="0.2"/>
    <n v="3.375"/>
    <n v="6.75"/>
    <x v="2"/>
    <x v="0"/>
    <x v="0"/>
  </r>
  <r>
    <x v="693"/>
    <x v="117"/>
    <s v="50705-17295-NK"/>
    <s v="A-L-0.2"/>
    <n v="6"/>
    <x v="668"/>
    <s v="caleixok5@globo.com"/>
    <x v="0"/>
    <s v="Ara"/>
    <s v="L"/>
    <n v="0.2"/>
    <n v="3.8849999999999998"/>
    <n v="23.31"/>
    <x v="2"/>
    <x v="1"/>
    <x v="1"/>
  </r>
  <r>
    <x v="694"/>
    <x v="543"/>
    <s v="77657-61366-FY"/>
    <s v="L-L-2.5"/>
    <n v="4"/>
    <x v="669"/>
    <s v=""/>
    <x v="0"/>
    <s v="Lib"/>
    <s v="L"/>
    <n v="2.5"/>
    <n v="36.454999999999998"/>
    <n v="145.82"/>
    <x v="3"/>
    <x v="1"/>
    <x v="1"/>
  </r>
  <r>
    <x v="695"/>
    <x v="544"/>
    <s v="57192-13428-PL"/>
    <s v="R-M-0.5"/>
    <n v="5"/>
    <x v="670"/>
    <s v="rtomkowiczk7@bravesites.com"/>
    <x v="1"/>
    <s v="Rob"/>
    <s v="M"/>
    <n v="0.5"/>
    <n v="5.97"/>
    <n v="29.849999999999998"/>
    <x v="0"/>
    <x v="0"/>
    <x v="0"/>
  </r>
  <r>
    <x v="696"/>
    <x v="545"/>
    <s v="24891-77957-LU"/>
    <s v="E-D-0.5"/>
    <n v="3"/>
    <x v="671"/>
    <s v="rhuscroftk8@jimdo.com"/>
    <x v="0"/>
    <s v="Exc"/>
    <s v="D"/>
    <n v="0.5"/>
    <n v="7.29"/>
    <n v="21.87"/>
    <x v="1"/>
    <x v="2"/>
    <x v="0"/>
  </r>
  <r>
    <x v="697"/>
    <x v="546"/>
    <s v="64896-18468-BT"/>
    <s v="L-M-0.2"/>
    <n v="1"/>
    <x v="672"/>
    <s v="sscurrerk9@flavors.me"/>
    <x v="2"/>
    <s v="Lib"/>
    <s v="M"/>
    <n v="0.2"/>
    <n v="4.3650000000000002"/>
    <n v="4.3650000000000002"/>
    <x v="3"/>
    <x v="0"/>
    <x v="1"/>
  </r>
  <r>
    <x v="698"/>
    <x v="420"/>
    <s v="84761-40784-SV"/>
    <s v="L-L-2.5"/>
    <n v="1"/>
    <x v="673"/>
    <s v="arudramka@prnewswire.com"/>
    <x v="0"/>
    <s v="Lib"/>
    <s v="L"/>
    <n v="2.5"/>
    <n v="36.454999999999998"/>
    <n v="36.454999999999998"/>
    <x v="3"/>
    <x v="1"/>
    <x v="1"/>
  </r>
  <r>
    <x v="699"/>
    <x v="547"/>
    <s v="20236-42322-CM"/>
    <s v="L-D-0.2"/>
    <n v="4"/>
    <x v="674"/>
    <s v=""/>
    <x v="0"/>
    <s v="Lib"/>
    <s v="D"/>
    <n v="0.2"/>
    <n v="3.8849999999999998"/>
    <n v="15.54"/>
    <x v="3"/>
    <x v="2"/>
    <x v="0"/>
  </r>
  <r>
    <x v="700"/>
    <x v="548"/>
    <s v="49671-11547-WG"/>
    <s v="E-L-0.2"/>
    <n v="2"/>
    <x v="675"/>
    <s v="jmahakc@cyberchimps.com"/>
    <x v="0"/>
    <s v="Exc"/>
    <s v="L"/>
    <n v="0.2"/>
    <n v="4.4550000000000001"/>
    <n v="8.91"/>
    <x v="1"/>
    <x v="1"/>
    <x v="1"/>
  </r>
  <r>
    <x v="701"/>
    <x v="549"/>
    <s v="57976-33535-WK"/>
    <s v="L-M-2.5"/>
    <n v="3"/>
    <x v="676"/>
    <s v="gclemonkd@networksolutions.com"/>
    <x v="0"/>
    <s v="Lib"/>
    <s v="M"/>
    <n v="2.5"/>
    <n v="33.464999999999996"/>
    <n v="100.39499999999998"/>
    <x v="3"/>
    <x v="0"/>
    <x v="0"/>
  </r>
  <r>
    <x v="702"/>
    <x v="550"/>
    <s v="55915-19477-MK"/>
    <s v="R-D-0.2"/>
    <n v="5"/>
    <x v="677"/>
    <s v=""/>
    <x v="0"/>
    <s v="Rob"/>
    <s v="D"/>
    <n v="0.2"/>
    <n v="2.6849999999999996"/>
    <n v="13.424999999999997"/>
    <x v="0"/>
    <x v="2"/>
    <x v="1"/>
  </r>
  <r>
    <x v="703"/>
    <x v="551"/>
    <s v="28121-11641-UA"/>
    <s v="E-D-0.2"/>
    <n v="6"/>
    <x v="678"/>
    <s v="bpollinskf@shinystat.com"/>
    <x v="0"/>
    <s v="Exc"/>
    <s v="D"/>
    <n v="0.2"/>
    <n v="3.645"/>
    <n v="21.87"/>
    <x v="1"/>
    <x v="2"/>
    <x v="1"/>
  </r>
  <r>
    <x v="704"/>
    <x v="552"/>
    <s v="09540-70637-EV"/>
    <s v="L-D-1"/>
    <n v="2"/>
    <x v="679"/>
    <s v="jtoyekg@pinterest.com"/>
    <x v="1"/>
    <s v="Lib"/>
    <s v="D"/>
    <n v="1"/>
    <n v="12.95"/>
    <n v="25.9"/>
    <x v="3"/>
    <x v="2"/>
    <x v="0"/>
  </r>
  <r>
    <x v="705"/>
    <x v="553"/>
    <s v="17775-77072-PP"/>
    <s v="A-M-1"/>
    <n v="5"/>
    <x v="680"/>
    <s v="clinskillkh@sphinn.com"/>
    <x v="0"/>
    <s v="Ara"/>
    <s v="M"/>
    <n v="1"/>
    <n v="11.25"/>
    <n v="56.25"/>
    <x v="2"/>
    <x v="0"/>
    <x v="1"/>
  </r>
  <r>
    <x v="706"/>
    <x v="554"/>
    <s v="90392-73338-BC"/>
    <s v="R-L-0.2"/>
    <n v="3"/>
    <x v="681"/>
    <s v="nvigrasski@ezinearticles.com"/>
    <x v="2"/>
    <s v="Rob"/>
    <s v="L"/>
    <n v="0.2"/>
    <n v="3.5849999999999995"/>
    <n v="10.754999999999999"/>
    <x v="0"/>
    <x v="1"/>
    <x v="1"/>
  </r>
  <r>
    <x v="707"/>
    <x v="555"/>
    <s v="94091-86957-HX"/>
    <s v="E-D-0.2"/>
    <n v="5"/>
    <x v="636"/>
    <s v="jdymokeje@prnewswire.com"/>
    <x v="1"/>
    <s v="Exc"/>
    <s v="D"/>
    <n v="0.2"/>
    <n v="3.645"/>
    <n v="18.225000000000001"/>
    <x v="1"/>
    <x v="2"/>
    <x v="1"/>
  </r>
  <r>
    <x v="708"/>
    <x v="150"/>
    <s v="10725-45724-CO"/>
    <s v="R-L-0.5"/>
    <n v="4"/>
    <x v="682"/>
    <s v="kcragellkk@google.com"/>
    <x v="1"/>
    <s v="Rob"/>
    <s v="L"/>
    <n v="0.5"/>
    <n v="7.169999999999999"/>
    <n v="28.679999999999996"/>
    <x v="0"/>
    <x v="1"/>
    <x v="1"/>
  </r>
  <r>
    <x v="709"/>
    <x v="556"/>
    <s v="87242-18006-IR"/>
    <s v="L-M-0.2"/>
    <n v="2"/>
    <x v="683"/>
    <s v="libertkl@huffingtonpost.com"/>
    <x v="0"/>
    <s v="Lib"/>
    <s v="M"/>
    <n v="0.2"/>
    <n v="4.3650000000000002"/>
    <n v="8.73"/>
    <x v="3"/>
    <x v="0"/>
    <x v="1"/>
  </r>
  <r>
    <x v="710"/>
    <x v="327"/>
    <s v="36572-91896-PP"/>
    <s v="L-M-1"/>
    <n v="4"/>
    <x v="684"/>
    <s v="rlidgeykm@vimeo.com"/>
    <x v="0"/>
    <s v="Lib"/>
    <s v="M"/>
    <n v="1"/>
    <n v="14.55"/>
    <n v="58.2"/>
    <x v="3"/>
    <x v="0"/>
    <x v="1"/>
  </r>
  <r>
    <x v="711"/>
    <x v="557"/>
    <s v="25181-97933-UX"/>
    <s v="A-D-0.5"/>
    <n v="3"/>
    <x v="685"/>
    <s v="tcastagnekn@wikia.com"/>
    <x v="0"/>
    <s v="Ara"/>
    <s v="D"/>
    <n v="0.5"/>
    <n v="5.97"/>
    <n v="17.91"/>
    <x v="2"/>
    <x v="2"/>
    <x v="1"/>
  </r>
  <r>
    <x v="712"/>
    <x v="333"/>
    <s v="55374-03175-IA"/>
    <s v="R-M-0.2"/>
    <n v="6"/>
    <x v="686"/>
    <s v=""/>
    <x v="0"/>
    <s v="Rob"/>
    <s v="M"/>
    <n v="0.2"/>
    <n v="2.9849999999999999"/>
    <n v="17.91"/>
    <x v="0"/>
    <x v="0"/>
    <x v="0"/>
  </r>
  <r>
    <x v="713"/>
    <x v="558"/>
    <s v="76948-43532-JS"/>
    <s v="E-D-0.5"/>
    <n v="2"/>
    <x v="687"/>
    <s v="jhaldenkp@comcast.net"/>
    <x v="1"/>
    <s v="Exc"/>
    <s v="D"/>
    <n v="0.5"/>
    <n v="7.29"/>
    <n v="14.58"/>
    <x v="1"/>
    <x v="2"/>
    <x v="1"/>
  </r>
  <r>
    <x v="714"/>
    <x v="559"/>
    <s v="24344-88599-PP"/>
    <s v="A-M-1"/>
    <n v="3"/>
    <x v="688"/>
    <s v="holliffkq@sciencedirect.com"/>
    <x v="1"/>
    <s v="Ara"/>
    <s v="M"/>
    <n v="1"/>
    <n v="11.25"/>
    <n v="33.75"/>
    <x v="2"/>
    <x v="0"/>
    <x v="1"/>
  </r>
  <r>
    <x v="715"/>
    <x v="310"/>
    <s v="54462-58311-YF"/>
    <s v="L-M-0.5"/>
    <n v="4"/>
    <x v="689"/>
    <s v="tquadrikr@opensource.org"/>
    <x v="1"/>
    <s v="Lib"/>
    <s v="M"/>
    <n v="0.5"/>
    <n v="8.73"/>
    <n v="34.92"/>
    <x v="3"/>
    <x v="0"/>
    <x v="0"/>
  </r>
  <r>
    <x v="716"/>
    <x v="560"/>
    <s v="90767-92589-LV"/>
    <s v="E-D-0.5"/>
    <n v="2"/>
    <x v="690"/>
    <s v="feshmadeks@umn.edu"/>
    <x v="0"/>
    <s v="Exc"/>
    <s v="D"/>
    <n v="0.5"/>
    <n v="7.29"/>
    <n v="14.58"/>
    <x v="1"/>
    <x v="2"/>
    <x v="1"/>
  </r>
  <r>
    <x v="717"/>
    <x v="561"/>
    <s v="27517-43747-YD"/>
    <s v="R-D-0.2"/>
    <n v="2"/>
    <x v="691"/>
    <s v="moilierkt@paginegialle.it"/>
    <x v="1"/>
    <s v="Rob"/>
    <s v="D"/>
    <n v="0.2"/>
    <n v="2.6849999999999996"/>
    <n v="5.3699999999999992"/>
    <x v="0"/>
    <x v="2"/>
    <x v="0"/>
  </r>
  <r>
    <x v="718"/>
    <x v="562"/>
    <s v="77828-66867-KH"/>
    <s v="R-M-0.5"/>
    <n v="1"/>
    <x v="692"/>
    <s v=""/>
    <x v="0"/>
    <s v="Rob"/>
    <s v="M"/>
    <n v="0.5"/>
    <n v="5.97"/>
    <n v="5.97"/>
    <x v="0"/>
    <x v="0"/>
    <x v="0"/>
  </r>
  <r>
    <x v="719"/>
    <x v="563"/>
    <s v="41054-59693-XE"/>
    <s v="L-L-0.5"/>
    <n v="2"/>
    <x v="693"/>
    <s v="vshoebothamkv@redcross.org"/>
    <x v="0"/>
    <s v="Lib"/>
    <s v="L"/>
    <n v="0.5"/>
    <n v="9.51"/>
    <n v="19.02"/>
    <x v="3"/>
    <x v="1"/>
    <x v="1"/>
  </r>
  <r>
    <x v="720"/>
    <x v="564"/>
    <s v="26314-66792-VP"/>
    <s v="E-M-1"/>
    <n v="2"/>
    <x v="694"/>
    <s v="bsterkekw@biblegateway.com"/>
    <x v="0"/>
    <s v="Exc"/>
    <s v="M"/>
    <n v="1"/>
    <n v="13.75"/>
    <n v="27.5"/>
    <x v="1"/>
    <x v="0"/>
    <x v="0"/>
  </r>
  <r>
    <x v="721"/>
    <x v="565"/>
    <s v="69410-04668-MA"/>
    <s v="A-D-0.5"/>
    <n v="5"/>
    <x v="695"/>
    <s v="scaponkx@craigslist.org"/>
    <x v="0"/>
    <s v="Ara"/>
    <s v="D"/>
    <n v="0.5"/>
    <n v="5.97"/>
    <n v="29.849999999999998"/>
    <x v="2"/>
    <x v="2"/>
    <x v="1"/>
  </r>
  <r>
    <x v="722"/>
    <x v="566"/>
    <s v="94091-86957-HX"/>
    <s v="A-D-0.2"/>
    <n v="6"/>
    <x v="636"/>
    <s v="jdymokeje@prnewswire.com"/>
    <x v="1"/>
    <s v="Ara"/>
    <s v="D"/>
    <n v="0.2"/>
    <n v="2.9849999999999999"/>
    <n v="17.91"/>
    <x v="2"/>
    <x v="2"/>
    <x v="1"/>
  </r>
  <r>
    <x v="723"/>
    <x v="160"/>
    <s v="24972-55878-KX"/>
    <s v="L-L-0.2"/>
    <n v="6"/>
    <x v="696"/>
    <s v="fconstancekz@ifeng.com"/>
    <x v="0"/>
    <s v="Lib"/>
    <s v="L"/>
    <n v="0.2"/>
    <n v="4.7549999999999999"/>
    <n v="28.53"/>
    <x v="3"/>
    <x v="1"/>
    <x v="1"/>
  </r>
  <r>
    <x v="724"/>
    <x v="567"/>
    <s v="46296-42617-OQ"/>
    <s v="R-D-1"/>
    <n v="4"/>
    <x v="697"/>
    <s v="fsulmanl0@washington.edu"/>
    <x v="0"/>
    <s v="Rob"/>
    <s v="D"/>
    <n v="1"/>
    <n v="8.9499999999999993"/>
    <n v="35.799999999999997"/>
    <x v="0"/>
    <x v="2"/>
    <x v="0"/>
  </r>
  <r>
    <x v="725"/>
    <x v="568"/>
    <s v="44494-89923-UW"/>
    <s v="A-D-0.5"/>
    <n v="3"/>
    <x v="698"/>
    <s v="dhollymanl1@ibm.com"/>
    <x v="0"/>
    <s v="Ara"/>
    <s v="D"/>
    <n v="0.5"/>
    <n v="5.97"/>
    <n v="17.91"/>
    <x v="2"/>
    <x v="2"/>
    <x v="0"/>
  </r>
  <r>
    <x v="726"/>
    <x v="569"/>
    <s v="11621-09964-ID"/>
    <s v="R-D-1"/>
    <n v="1"/>
    <x v="699"/>
    <s v="lnardonil2@hao123.com"/>
    <x v="0"/>
    <s v="Rob"/>
    <s v="D"/>
    <n v="1"/>
    <n v="8.9499999999999993"/>
    <n v="8.9499999999999993"/>
    <x v="0"/>
    <x v="2"/>
    <x v="1"/>
  </r>
  <r>
    <x v="727"/>
    <x v="570"/>
    <s v="76319-80715-II"/>
    <s v="L-D-2.5"/>
    <n v="1"/>
    <x v="700"/>
    <s v="dyarhaml3@moonfruit.com"/>
    <x v="0"/>
    <s v="Lib"/>
    <s v="D"/>
    <n v="2.5"/>
    <n v="29.784999999999997"/>
    <n v="29.784999999999997"/>
    <x v="3"/>
    <x v="2"/>
    <x v="0"/>
  </r>
  <r>
    <x v="728"/>
    <x v="571"/>
    <s v="91654-79216-IC"/>
    <s v="E-L-0.5"/>
    <n v="5"/>
    <x v="701"/>
    <s v="aferreal4@wikia.com"/>
    <x v="0"/>
    <s v="Exc"/>
    <s v="L"/>
    <n v="0.5"/>
    <n v="8.91"/>
    <n v="44.55"/>
    <x v="1"/>
    <x v="1"/>
    <x v="1"/>
  </r>
  <r>
    <x v="729"/>
    <x v="139"/>
    <s v="56450-21890-HK"/>
    <s v="E-L-1"/>
    <n v="6"/>
    <x v="702"/>
    <s v="ckendrickl5@webnode.com"/>
    <x v="0"/>
    <s v="Exc"/>
    <s v="L"/>
    <n v="1"/>
    <n v="14.85"/>
    <n v="89.1"/>
    <x v="1"/>
    <x v="1"/>
    <x v="0"/>
  </r>
  <r>
    <x v="730"/>
    <x v="303"/>
    <s v="40600-58915-WZ"/>
    <s v="L-M-0.5"/>
    <n v="5"/>
    <x v="703"/>
    <s v="sdanilchikl6@mit.edu"/>
    <x v="2"/>
    <s v="Lib"/>
    <s v="M"/>
    <n v="0.5"/>
    <n v="8.73"/>
    <n v="43.650000000000006"/>
    <x v="3"/>
    <x v="0"/>
    <x v="1"/>
  </r>
  <r>
    <x v="731"/>
    <x v="572"/>
    <s v="66527-94478-PB"/>
    <s v="A-L-0.5"/>
    <n v="3"/>
    <x v="704"/>
    <s v=""/>
    <x v="0"/>
    <s v="Ara"/>
    <s v="L"/>
    <n v="0.5"/>
    <n v="7.77"/>
    <n v="23.31"/>
    <x v="2"/>
    <x v="1"/>
    <x v="1"/>
  </r>
  <r>
    <x v="732"/>
    <x v="573"/>
    <s v="77154-45038-IH"/>
    <s v="A-L-2.5"/>
    <n v="6"/>
    <x v="705"/>
    <s v="bfolomkinl8@yolasite.com"/>
    <x v="0"/>
    <s v="Ara"/>
    <s v="L"/>
    <n v="2.5"/>
    <n v="29.784999999999997"/>
    <n v="178.70999999999998"/>
    <x v="2"/>
    <x v="1"/>
    <x v="0"/>
  </r>
  <r>
    <x v="733"/>
    <x v="574"/>
    <s v="08439-55669-AI"/>
    <s v="R-M-1"/>
    <n v="6"/>
    <x v="706"/>
    <s v="rpursglovel9@biblegateway.com"/>
    <x v="0"/>
    <s v="Rob"/>
    <s v="M"/>
    <n v="1"/>
    <n v="9.9499999999999993"/>
    <n v="59.699999999999996"/>
    <x v="0"/>
    <x v="0"/>
    <x v="0"/>
  </r>
  <r>
    <x v="733"/>
    <x v="574"/>
    <s v="08439-55669-AI"/>
    <s v="A-L-0.5"/>
    <n v="2"/>
    <x v="706"/>
    <s v="rpursglovel9@biblegateway.com"/>
    <x v="0"/>
    <s v="Ara"/>
    <s v="L"/>
    <n v="0.5"/>
    <n v="7.77"/>
    <n v="15.54"/>
    <x v="2"/>
    <x v="1"/>
    <x v="0"/>
  </r>
  <r>
    <x v="734"/>
    <x v="455"/>
    <s v="24972-55878-KX"/>
    <s v="A-L-2.5"/>
    <n v="3"/>
    <x v="696"/>
    <s v="fconstancekz@ifeng.com"/>
    <x v="0"/>
    <s v="Ara"/>
    <s v="L"/>
    <n v="2.5"/>
    <n v="29.784999999999997"/>
    <n v="89.35499999999999"/>
    <x v="2"/>
    <x v="1"/>
    <x v="1"/>
  </r>
  <r>
    <x v="735"/>
    <x v="575"/>
    <s v="24972-55878-KX"/>
    <s v="R-L-1"/>
    <n v="2"/>
    <x v="696"/>
    <s v="fconstancekz@ifeng.com"/>
    <x v="0"/>
    <s v="Rob"/>
    <s v="L"/>
    <n v="1"/>
    <n v="11.95"/>
    <n v="23.9"/>
    <x v="0"/>
    <x v="1"/>
    <x v="1"/>
  </r>
  <r>
    <x v="736"/>
    <x v="576"/>
    <s v="91509-62250-GN"/>
    <s v="R-M-2.5"/>
    <n v="6"/>
    <x v="707"/>
    <s v="deburahld@google.co.jp"/>
    <x v="2"/>
    <s v="Rob"/>
    <s v="M"/>
    <n v="2.5"/>
    <n v="22.884999999999998"/>
    <n v="137.31"/>
    <x v="0"/>
    <x v="0"/>
    <x v="1"/>
  </r>
  <r>
    <x v="737"/>
    <x v="577"/>
    <s v="83833-46106-ZC"/>
    <s v="A-D-1"/>
    <n v="1"/>
    <x v="708"/>
    <s v="mbrimilcombele@cnn.com"/>
    <x v="0"/>
    <s v="Ara"/>
    <s v="D"/>
    <n v="1"/>
    <n v="9.9499999999999993"/>
    <n v="9.9499999999999993"/>
    <x v="2"/>
    <x v="2"/>
    <x v="1"/>
  </r>
  <r>
    <x v="738"/>
    <x v="578"/>
    <s v="19383-33606-PW"/>
    <s v="R-L-0.5"/>
    <n v="3"/>
    <x v="709"/>
    <s v="sbollamlf@list-manage.com"/>
    <x v="0"/>
    <s v="Rob"/>
    <s v="L"/>
    <n v="0.5"/>
    <n v="7.169999999999999"/>
    <n v="21.509999999999998"/>
    <x v="0"/>
    <x v="1"/>
    <x v="1"/>
  </r>
  <r>
    <x v="739"/>
    <x v="579"/>
    <s v="67052-76184-CB"/>
    <s v="E-M-1"/>
    <n v="6"/>
    <x v="710"/>
    <s v=""/>
    <x v="0"/>
    <s v="Exc"/>
    <s v="M"/>
    <n v="1"/>
    <n v="13.75"/>
    <n v="82.5"/>
    <x v="1"/>
    <x v="0"/>
    <x v="1"/>
  </r>
  <r>
    <x v="740"/>
    <x v="91"/>
    <s v="43452-18035-DH"/>
    <s v="L-M-0.2"/>
    <n v="2"/>
    <x v="711"/>
    <s v="afilipczaklh@ning.com"/>
    <x v="1"/>
    <s v="Lib"/>
    <s v="M"/>
    <n v="0.2"/>
    <n v="4.3650000000000002"/>
    <n v="8.73"/>
    <x v="3"/>
    <x v="0"/>
    <x v="1"/>
  </r>
  <r>
    <x v="741"/>
    <x v="272"/>
    <s v="88060-50676-MV"/>
    <s v="R-M-1"/>
    <n v="2"/>
    <x v="712"/>
    <s v=""/>
    <x v="0"/>
    <s v="Rob"/>
    <s v="M"/>
    <n v="1"/>
    <n v="9.9499999999999993"/>
    <n v="19.899999999999999"/>
    <x v="0"/>
    <x v="0"/>
    <x v="0"/>
  </r>
  <r>
    <x v="742"/>
    <x v="65"/>
    <s v="89574-96203-EP"/>
    <s v="E-L-0.5"/>
    <n v="2"/>
    <x v="713"/>
    <s v="relnaughlj@comsenz.com"/>
    <x v="0"/>
    <s v="Exc"/>
    <s v="L"/>
    <n v="0.5"/>
    <n v="8.91"/>
    <n v="17.82"/>
    <x v="1"/>
    <x v="1"/>
    <x v="0"/>
  </r>
  <r>
    <x v="743"/>
    <x v="580"/>
    <s v="12607-75113-UV"/>
    <s v="A-M-0.5"/>
    <n v="3"/>
    <x v="714"/>
    <s v="jdeehanlk@about.me"/>
    <x v="0"/>
    <s v="Ara"/>
    <s v="M"/>
    <n v="0.5"/>
    <n v="6.75"/>
    <n v="20.25"/>
    <x v="2"/>
    <x v="0"/>
    <x v="1"/>
  </r>
  <r>
    <x v="744"/>
    <x v="581"/>
    <s v="56991-05510-PR"/>
    <s v="A-L-2.5"/>
    <n v="2"/>
    <x v="715"/>
    <s v="jedenll@e-recht24.de"/>
    <x v="0"/>
    <s v="Ara"/>
    <s v="L"/>
    <n v="2.5"/>
    <n v="29.784999999999997"/>
    <n v="59.569999999999993"/>
    <x v="2"/>
    <x v="1"/>
    <x v="1"/>
  </r>
  <r>
    <x v="745"/>
    <x v="489"/>
    <s v="01841-48191-NL"/>
    <s v="L-L-0.5"/>
    <n v="2"/>
    <x v="716"/>
    <s v="cjewsterlu@moonfruit.com"/>
    <x v="0"/>
    <s v="Lib"/>
    <s v="L"/>
    <n v="0.5"/>
    <n v="9.51"/>
    <n v="19.02"/>
    <x v="3"/>
    <x v="1"/>
    <x v="0"/>
  </r>
  <r>
    <x v="746"/>
    <x v="234"/>
    <s v="33269-10023-CO"/>
    <s v="L-D-1"/>
    <n v="6"/>
    <x v="717"/>
    <s v="usoutherdenln@hao123.com"/>
    <x v="0"/>
    <s v="Lib"/>
    <s v="D"/>
    <n v="1"/>
    <n v="12.95"/>
    <n v="77.699999999999989"/>
    <x v="3"/>
    <x v="2"/>
    <x v="0"/>
  </r>
  <r>
    <x v="747"/>
    <x v="175"/>
    <s v="31245-81098-PJ"/>
    <s v="E-M-1"/>
    <n v="3"/>
    <x v="718"/>
    <s v=""/>
    <x v="0"/>
    <s v="Exc"/>
    <s v="M"/>
    <n v="1"/>
    <n v="13.75"/>
    <n v="41.25"/>
    <x v="1"/>
    <x v="0"/>
    <x v="1"/>
  </r>
  <r>
    <x v="748"/>
    <x v="582"/>
    <s v="08946-56610-IH"/>
    <s v="L-L-2.5"/>
    <n v="4"/>
    <x v="719"/>
    <s v="lburtenshawlp@shinystat.com"/>
    <x v="0"/>
    <s v="Lib"/>
    <s v="L"/>
    <n v="2.5"/>
    <n v="36.454999999999998"/>
    <n v="145.82"/>
    <x v="3"/>
    <x v="1"/>
    <x v="1"/>
  </r>
  <r>
    <x v="749"/>
    <x v="583"/>
    <s v="20260-32948-EB"/>
    <s v="E-L-0.2"/>
    <n v="6"/>
    <x v="720"/>
    <s v="agregorattilq@vistaprint.com"/>
    <x v="1"/>
    <s v="Exc"/>
    <s v="L"/>
    <n v="0.2"/>
    <n v="4.4550000000000001"/>
    <n v="26.73"/>
    <x v="1"/>
    <x v="1"/>
    <x v="1"/>
  </r>
  <r>
    <x v="750"/>
    <x v="548"/>
    <s v="31613-41626-KX"/>
    <s v="L-M-0.5"/>
    <n v="5"/>
    <x v="721"/>
    <s v="ccrosterlr@gov.uk"/>
    <x v="0"/>
    <s v="Lib"/>
    <s v="M"/>
    <n v="0.5"/>
    <n v="8.73"/>
    <n v="43.650000000000006"/>
    <x v="3"/>
    <x v="0"/>
    <x v="0"/>
  </r>
  <r>
    <x v="751"/>
    <x v="584"/>
    <s v="75961-20170-RD"/>
    <s v="L-L-1"/>
    <n v="2"/>
    <x v="722"/>
    <s v="gwhiteheadls@hp.com"/>
    <x v="0"/>
    <s v="Lib"/>
    <s v="L"/>
    <n v="1"/>
    <n v="15.85"/>
    <n v="31.7"/>
    <x v="3"/>
    <x v="1"/>
    <x v="1"/>
  </r>
  <r>
    <x v="752"/>
    <x v="64"/>
    <s v="72524-06410-KD"/>
    <s v="A-D-2.5"/>
    <n v="1"/>
    <x v="723"/>
    <s v="hjodrellelt@samsung.com"/>
    <x v="0"/>
    <s v="Ara"/>
    <s v="D"/>
    <n v="2.5"/>
    <n v="22.884999999999998"/>
    <n v="22.884999999999998"/>
    <x v="2"/>
    <x v="2"/>
    <x v="1"/>
  </r>
  <r>
    <x v="753"/>
    <x v="585"/>
    <s v="01841-48191-NL"/>
    <s v="E-D-2.5"/>
    <n v="1"/>
    <x v="716"/>
    <s v="cjewsterlu@moonfruit.com"/>
    <x v="0"/>
    <s v="Exc"/>
    <s v="D"/>
    <n v="2.5"/>
    <n v="27.945"/>
    <n v="27.945"/>
    <x v="1"/>
    <x v="2"/>
    <x v="0"/>
  </r>
  <r>
    <x v="754"/>
    <x v="32"/>
    <s v="98918-34330-GY"/>
    <s v="E-M-1"/>
    <n v="6"/>
    <x v="724"/>
    <s v=""/>
    <x v="0"/>
    <s v="Exc"/>
    <s v="M"/>
    <n v="1"/>
    <n v="13.75"/>
    <n v="82.5"/>
    <x v="1"/>
    <x v="0"/>
    <x v="0"/>
  </r>
  <r>
    <x v="755"/>
    <x v="586"/>
    <s v="51497-50894-WU"/>
    <s v="R-M-2.5"/>
    <n v="2"/>
    <x v="725"/>
    <s v="knottramlw@odnoklassniki.ru"/>
    <x v="1"/>
    <s v="Rob"/>
    <s v="M"/>
    <n v="2.5"/>
    <n v="22.884999999999998"/>
    <n v="45.769999999999996"/>
    <x v="0"/>
    <x v="0"/>
    <x v="0"/>
  </r>
  <r>
    <x v="756"/>
    <x v="535"/>
    <s v="98636-90072-YE"/>
    <s v="A-L-1"/>
    <n v="6"/>
    <x v="726"/>
    <s v="nbuneylx@jugem.jp"/>
    <x v="0"/>
    <s v="Ara"/>
    <s v="L"/>
    <n v="1"/>
    <n v="12.95"/>
    <n v="77.699999999999989"/>
    <x v="2"/>
    <x v="1"/>
    <x v="1"/>
  </r>
  <r>
    <x v="757"/>
    <x v="587"/>
    <s v="47011-57815-HJ"/>
    <s v="A-L-0.5"/>
    <n v="3"/>
    <x v="727"/>
    <s v="smcshealy@photobucket.com"/>
    <x v="0"/>
    <s v="Ara"/>
    <s v="L"/>
    <n v="0.5"/>
    <n v="7.77"/>
    <n v="23.31"/>
    <x v="2"/>
    <x v="1"/>
    <x v="1"/>
  </r>
  <r>
    <x v="758"/>
    <x v="393"/>
    <s v="61253-98356-VD"/>
    <s v="L-L-0.2"/>
    <n v="5"/>
    <x v="728"/>
    <s v="khuddartlz@about.com"/>
    <x v="0"/>
    <s v="Lib"/>
    <s v="L"/>
    <n v="0.2"/>
    <n v="4.7549999999999999"/>
    <n v="23.774999999999999"/>
    <x v="3"/>
    <x v="1"/>
    <x v="0"/>
  </r>
  <r>
    <x v="759"/>
    <x v="588"/>
    <s v="96762-10814-DA"/>
    <s v="L-M-0.5"/>
    <n v="6"/>
    <x v="729"/>
    <s v="jgippesm0@cloudflare.com"/>
    <x v="2"/>
    <s v="Lib"/>
    <s v="M"/>
    <n v="0.5"/>
    <n v="8.73"/>
    <n v="52.38"/>
    <x v="3"/>
    <x v="0"/>
    <x v="0"/>
  </r>
  <r>
    <x v="760"/>
    <x v="15"/>
    <s v="63112-10870-LC"/>
    <s v="R-L-0.2"/>
    <n v="5"/>
    <x v="730"/>
    <s v="lwhittleseem1@e-recht24.de"/>
    <x v="0"/>
    <s v="Rob"/>
    <s v="L"/>
    <n v="0.2"/>
    <n v="3.5849999999999995"/>
    <n v="17.924999999999997"/>
    <x v="0"/>
    <x v="1"/>
    <x v="1"/>
  </r>
  <r>
    <x v="761"/>
    <x v="507"/>
    <s v="21403-49423-PD"/>
    <s v="A-L-2.5"/>
    <n v="5"/>
    <x v="731"/>
    <s v="gtrengrovem2@elpais.com"/>
    <x v="0"/>
    <s v="Ara"/>
    <s v="L"/>
    <n v="2.5"/>
    <n v="29.784999999999997"/>
    <n v="148.92499999999998"/>
    <x v="2"/>
    <x v="1"/>
    <x v="1"/>
  </r>
  <r>
    <x v="762"/>
    <x v="533"/>
    <s v="29581-13303-VB"/>
    <s v="R-L-0.5"/>
    <n v="4"/>
    <x v="732"/>
    <s v="wcalderom3@stumbleupon.com"/>
    <x v="0"/>
    <s v="Rob"/>
    <s v="L"/>
    <n v="0.5"/>
    <n v="7.169999999999999"/>
    <n v="28.679999999999996"/>
    <x v="0"/>
    <x v="1"/>
    <x v="1"/>
  </r>
  <r>
    <x v="763"/>
    <x v="589"/>
    <s v="86110-83695-YS"/>
    <s v="L-L-0.5"/>
    <n v="1"/>
    <x v="733"/>
    <s v=""/>
    <x v="0"/>
    <s v="Lib"/>
    <s v="L"/>
    <n v="0.5"/>
    <n v="9.51"/>
    <n v="9.51"/>
    <x v="3"/>
    <x v="1"/>
    <x v="1"/>
  </r>
  <r>
    <x v="764"/>
    <x v="590"/>
    <s v="80454-42225-FT"/>
    <s v="A-L-0.5"/>
    <n v="4"/>
    <x v="734"/>
    <s v="jkennicottm5@yahoo.co.jp"/>
    <x v="0"/>
    <s v="Ara"/>
    <s v="L"/>
    <n v="0.5"/>
    <n v="7.77"/>
    <n v="31.08"/>
    <x v="2"/>
    <x v="1"/>
    <x v="1"/>
  </r>
  <r>
    <x v="765"/>
    <x v="457"/>
    <s v="29129-60664-KO"/>
    <s v="R-D-0.2"/>
    <n v="3"/>
    <x v="735"/>
    <s v="gruggenm6@nymag.com"/>
    <x v="0"/>
    <s v="Rob"/>
    <s v="D"/>
    <n v="0.2"/>
    <n v="2.6849999999999996"/>
    <n v="8.0549999999999997"/>
    <x v="0"/>
    <x v="2"/>
    <x v="0"/>
  </r>
  <r>
    <x v="766"/>
    <x v="591"/>
    <s v="63025-62939-AN"/>
    <s v="E-D-1"/>
    <n v="3"/>
    <x v="736"/>
    <s v=""/>
    <x v="0"/>
    <s v="Exc"/>
    <s v="D"/>
    <n v="1"/>
    <n v="12.15"/>
    <n v="36.450000000000003"/>
    <x v="1"/>
    <x v="2"/>
    <x v="0"/>
  </r>
  <r>
    <x v="767"/>
    <x v="592"/>
    <s v="49012-12987-QT"/>
    <s v="R-D-0.2"/>
    <n v="6"/>
    <x v="737"/>
    <s v="mfrightm8@harvard.edu"/>
    <x v="1"/>
    <s v="Rob"/>
    <s v="D"/>
    <n v="0.2"/>
    <n v="2.6849999999999996"/>
    <n v="16.11"/>
    <x v="0"/>
    <x v="2"/>
    <x v="1"/>
  </r>
  <r>
    <x v="768"/>
    <x v="402"/>
    <s v="50924-94200-SQ"/>
    <s v="R-D-2.5"/>
    <n v="2"/>
    <x v="738"/>
    <s v="btartem9@aol.com"/>
    <x v="0"/>
    <s v="Rob"/>
    <s v="D"/>
    <n v="2.5"/>
    <n v="20.584999999999997"/>
    <n v="41.169999999999995"/>
    <x v="0"/>
    <x v="2"/>
    <x v="0"/>
  </r>
  <r>
    <x v="769"/>
    <x v="593"/>
    <s v="15673-18812-IU"/>
    <s v="R-D-0.2"/>
    <n v="4"/>
    <x v="739"/>
    <s v="ckrzysztofiakma@skyrock.com"/>
    <x v="0"/>
    <s v="Rob"/>
    <s v="D"/>
    <n v="0.2"/>
    <n v="2.6849999999999996"/>
    <n v="10.739999999999998"/>
    <x v="0"/>
    <x v="2"/>
    <x v="1"/>
  </r>
  <r>
    <x v="770"/>
    <x v="594"/>
    <s v="52151-75971-YY"/>
    <s v="E-M-2.5"/>
    <n v="4"/>
    <x v="740"/>
    <s v="dpenquetmb@diigo.com"/>
    <x v="0"/>
    <s v="Exc"/>
    <s v="M"/>
    <n v="2.5"/>
    <n v="31.624999999999996"/>
    <n v="126.49999999999999"/>
    <x v="1"/>
    <x v="0"/>
    <x v="1"/>
  </r>
  <r>
    <x v="771"/>
    <x v="77"/>
    <s v="19413-02045-CG"/>
    <s v="R-L-1"/>
    <n v="2"/>
    <x v="741"/>
    <s v=""/>
    <x v="2"/>
    <s v="Rob"/>
    <s v="L"/>
    <n v="1"/>
    <n v="11.95"/>
    <n v="23.9"/>
    <x v="0"/>
    <x v="1"/>
    <x v="1"/>
  </r>
  <r>
    <x v="772"/>
    <x v="595"/>
    <s v="98185-92775-KT"/>
    <s v="R-M-0.5"/>
    <n v="1"/>
    <x v="742"/>
    <s v=""/>
    <x v="0"/>
    <s v="Rob"/>
    <s v="M"/>
    <n v="0.5"/>
    <n v="5.97"/>
    <n v="5.97"/>
    <x v="0"/>
    <x v="0"/>
    <x v="1"/>
  </r>
  <r>
    <x v="773"/>
    <x v="596"/>
    <s v="86991-53901-AT"/>
    <s v="L-D-0.2"/>
    <n v="2"/>
    <x v="743"/>
    <s v=""/>
    <x v="2"/>
    <s v="Lib"/>
    <s v="D"/>
    <n v="0.2"/>
    <n v="3.8849999999999998"/>
    <n v="7.77"/>
    <x v="3"/>
    <x v="2"/>
    <x v="0"/>
  </r>
  <r>
    <x v="774"/>
    <x v="514"/>
    <s v="78226-97287-JI"/>
    <s v="L-D-0.5"/>
    <n v="3"/>
    <x v="744"/>
    <s v="kferrettimf@huffingtonpost.com"/>
    <x v="1"/>
    <s v="Lib"/>
    <s v="D"/>
    <n v="0.5"/>
    <n v="7.77"/>
    <n v="23.31"/>
    <x v="3"/>
    <x v="2"/>
    <x v="1"/>
  </r>
  <r>
    <x v="775"/>
    <x v="54"/>
    <s v="27930-59250-JT"/>
    <s v="R-L-2.5"/>
    <n v="5"/>
    <x v="745"/>
    <s v=""/>
    <x v="0"/>
    <s v="Rob"/>
    <s v="L"/>
    <n v="2.5"/>
    <n v="27.484999999999996"/>
    <n v="137.42499999999998"/>
    <x v="0"/>
    <x v="1"/>
    <x v="1"/>
  </r>
  <r>
    <x v="776"/>
    <x v="597"/>
    <s v="40560-18556-YE"/>
    <s v="R-D-0.2"/>
    <n v="3"/>
    <x v="746"/>
    <s v=""/>
    <x v="0"/>
    <s v="Rob"/>
    <s v="D"/>
    <n v="0.2"/>
    <n v="2.6849999999999996"/>
    <n v="8.0549999999999997"/>
    <x v="0"/>
    <x v="2"/>
    <x v="0"/>
  </r>
  <r>
    <x v="777"/>
    <x v="105"/>
    <s v="40780-22081-LX"/>
    <s v="L-L-0.5"/>
    <n v="3"/>
    <x v="747"/>
    <s v="abalsdonemi@toplist.cz"/>
    <x v="0"/>
    <s v="Lib"/>
    <s v="L"/>
    <n v="0.5"/>
    <n v="9.51"/>
    <n v="28.53"/>
    <x v="3"/>
    <x v="1"/>
    <x v="1"/>
  </r>
  <r>
    <x v="778"/>
    <x v="210"/>
    <s v="01603-43789-TN"/>
    <s v="A-M-1"/>
    <n v="6"/>
    <x v="748"/>
    <s v="bromeramj@list-manage.com"/>
    <x v="1"/>
    <s v="Ara"/>
    <s v="M"/>
    <n v="1"/>
    <n v="11.25"/>
    <n v="67.5"/>
    <x v="2"/>
    <x v="0"/>
    <x v="0"/>
  </r>
  <r>
    <x v="778"/>
    <x v="210"/>
    <s v="01603-43789-TN"/>
    <s v="L-D-2.5"/>
    <n v="6"/>
    <x v="748"/>
    <s v="bromeramj@list-manage.com"/>
    <x v="1"/>
    <s v="Lib"/>
    <s v="D"/>
    <n v="2.5"/>
    <n v="29.784999999999997"/>
    <n v="178.70999999999998"/>
    <x v="3"/>
    <x v="2"/>
    <x v="0"/>
  </r>
  <r>
    <x v="779"/>
    <x v="598"/>
    <s v="75419-92838-TI"/>
    <s v="E-M-2.5"/>
    <n v="1"/>
    <x v="749"/>
    <s v="cbrydeml@tuttocitta.it"/>
    <x v="0"/>
    <s v="Exc"/>
    <s v="M"/>
    <n v="2.5"/>
    <n v="31.624999999999996"/>
    <n v="31.624999999999996"/>
    <x v="1"/>
    <x v="0"/>
    <x v="0"/>
  </r>
  <r>
    <x v="780"/>
    <x v="360"/>
    <s v="96516-97464-MF"/>
    <s v="E-L-0.2"/>
    <n v="2"/>
    <x v="750"/>
    <s v="senefermm@blog.com"/>
    <x v="0"/>
    <s v="Exc"/>
    <s v="L"/>
    <n v="0.2"/>
    <n v="4.4550000000000001"/>
    <n v="8.91"/>
    <x v="1"/>
    <x v="1"/>
    <x v="1"/>
  </r>
  <r>
    <x v="781"/>
    <x v="62"/>
    <s v="90285-56295-PO"/>
    <s v="R-M-0.5"/>
    <n v="6"/>
    <x v="751"/>
    <s v="lhaggerstonemn@independent.co.uk"/>
    <x v="0"/>
    <s v="Rob"/>
    <s v="M"/>
    <n v="0.5"/>
    <n v="5.97"/>
    <n v="35.82"/>
    <x v="0"/>
    <x v="0"/>
    <x v="1"/>
  </r>
  <r>
    <x v="782"/>
    <x v="599"/>
    <s v="08100-71102-HQ"/>
    <s v="L-L-0.5"/>
    <n v="4"/>
    <x v="752"/>
    <s v="mgundrymo@omniture.com"/>
    <x v="1"/>
    <s v="Lib"/>
    <s v="L"/>
    <n v="0.5"/>
    <n v="9.51"/>
    <n v="38.04"/>
    <x v="3"/>
    <x v="1"/>
    <x v="1"/>
  </r>
  <r>
    <x v="783"/>
    <x v="600"/>
    <s v="84074-28110-OV"/>
    <s v="L-D-0.5"/>
    <n v="2"/>
    <x v="753"/>
    <s v="bwellanmp@cafepress.com"/>
    <x v="0"/>
    <s v="Lib"/>
    <s v="D"/>
    <n v="0.5"/>
    <n v="7.77"/>
    <n v="15.54"/>
    <x v="3"/>
    <x v="2"/>
    <x v="1"/>
  </r>
  <r>
    <x v="784"/>
    <x v="601"/>
    <s v="27930-59250-JT"/>
    <s v="L-L-1"/>
    <n v="5"/>
    <x v="745"/>
    <s v=""/>
    <x v="0"/>
    <s v="Lib"/>
    <s v="L"/>
    <n v="1"/>
    <n v="15.85"/>
    <n v="79.25"/>
    <x v="3"/>
    <x v="1"/>
    <x v="1"/>
  </r>
  <r>
    <x v="785"/>
    <x v="602"/>
    <s v="12747-63766-EU"/>
    <s v="L-L-0.2"/>
    <n v="1"/>
    <x v="754"/>
    <s v="catchesonmr@xinhuanet.com"/>
    <x v="0"/>
    <s v="Lib"/>
    <s v="L"/>
    <n v="0.2"/>
    <n v="4.7549999999999999"/>
    <n v="4.7549999999999999"/>
    <x v="3"/>
    <x v="1"/>
    <x v="0"/>
  </r>
  <r>
    <x v="786"/>
    <x v="603"/>
    <s v="83490-88357-LJ"/>
    <s v="E-M-1"/>
    <n v="4"/>
    <x v="755"/>
    <s v="estentonms@google.it"/>
    <x v="0"/>
    <s v="Exc"/>
    <s v="M"/>
    <n v="1"/>
    <n v="13.75"/>
    <n v="55"/>
    <x v="1"/>
    <x v="0"/>
    <x v="0"/>
  </r>
  <r>
    <x v="787"/>
    <x v="604"/>
    <s v="53729-30320-XZ"/>
    <s v="R-D-0.5"/>
    <n v="5"/>
    <x v="756"/>
    <s v="etrippmt@wp.com"/>
    <x v="0"/>
    <s v="Rob"/>
    <s v="D"/>
    <n v="0.5"/>
    <n v="5.3699999999999992"/>
    <n v="26.849999999999994"/>
    <x v="0"/>
    <x v="2"/>
    <x v="1"/>
  </r>
  <r>
    <x v="788"/>
    <x v="605"/>
    <s v="50384-52703-LA"/>
    <s v="E-L-2.5"/>
    <n v="4"/>
    <x v="757"/>
    <s v="lmacmanusmu@imdb.com"/>
    <x v="0"/>
    <s v="Exc"/>
    <s v="L"/>
    <n v="2.5"/>
    <n v="34.154999999999994"/>
    <n v="136.61999999999998"/>
    <x v="1"/>
    <x v="1"/>
    <x v="1"/>
  </r>
  <r>
    <x v="789"/>
    <x v="606"/>
    <s v="53864-36201-FG"/>
    <s v="L-L-1"/>
    <n v="3"/>
    <x v="758"/>
    <s v="tbenediktovichmv@ebay.com"/>
    <x v="0"/>
    <s v="Lib"/>
    <s v="L"/>
    <n v="1"/>
    <n v="15.85"/>
    <n v="47.55"/>
    <x v="3"/>
    <x v="1"/>
    <x v="0"/>
  </r>
  <r>
    <x v="790"/>
    <x v="446"/>
    <s v="70631-33225-MZ"/>
    <s v="A-M-0.2"/>
    <n v="5"/>
    <x v="759"/>
    <s v="cbournermw@chronoengine.com"/>
    <x v="0"/>
    <s v="Ara"/>
    <s v="M"/>
    <n v="0.2"/>
    <n v="3.375"/>
    <n v="16.875"/>
    <x v="2"/>
    <x v="0"/>
    <x v="0"/>
  </r>
  <r>
    <x v="791"/>
    <x v="18"/>
    <s v="54798-14109-HC"/>
    <s v="A-D-1"/>
    <n v="3"/>
    <x v="760"/>
    <s v="oskermen3@hatena.ne.jp"/>
    <x v="0"/>
    <s v="Ara"/>
    <s v="D"/>
    <n v="1"/>
    <n v="9.9499999999999993"/>
    <n v="29.849999999999998"/>
    <x v="2"/>
    <x v="2"/>
    <x v="0"/>
  </r>
  <r>
    <x v="792"/>
    <x v="180"/>
    <s v="08023-52962-ET"/>
    <s v="E-M-0.5"/>
    <n v="5"/>
    <x v="761"/>
    <s v="kheddanmy@icq.com"/>
    <x v="0"/>
    <s v="Exc"/>
    <s v="M"/>
    <n v="0.5"/>
    <n v="8.25"/>
    <n v="41.25"/>
    <x v="1"/>
    <x v="0"/>
    <x v="0"/>
  </r>
  <r>
    <x v="793"/>
    <x v="580"/>
    <s v="41899-00283-VK"/>
    <s v="E-M-0.2"/>
    <n v="5"/>
    <x v="762"/>
    <s v="ichartersmz@abc.net.au"/>
    <x v="0"/>
    <s v="Exc"/>
    <s v="M"/>
    <n v="0.2"/>
    <n v="4.125"/>
    <n v="20.625"/>
    <x v="1"/>
    <x v="0"/>
    <x v="1"/>
  </r>
  <r>
    <x v="794"/>
    <x v="453"/>
    <s v="39011-18412-GR"/>
    <s v="A-D-2.5"/>
    <n v="6"/>
    <x v="763"/>
    <s v="aroubertn0@tmall.com"/>
    <x v="0"/>
    <s v="Ara"/>
    <s v="D"/>
    <n v="2.5"/>
    <n v="22.884999999999998"/>
    <n v="137.31"/>
    <x v="2"/>
    <x v="2"/>
    <x v="0"/>
  </r>
  <r>
    <x v="795"/>
    <x v="259"/>
    <s v="60255-12579-PZ"/>
    <s v="A-D-0.2"/>
    <n v="1"/>
    <x v="764"/>
    <s v="hmairsn1@so-net.ne.jp"/>
    <x v="0"/>
    <s v="Ara"/>
    <s v="D"/>
    <n v="0.2"/>
    <n v="2.9849999999999999"/>
    <n v="2.9849999999999999"/>
    <x v="2"/>
    <x v="2"/>
    <x v="1"/>
  </r>
  <r>
    <x v="796"/>
    <x v="607"/>
    <s v="80541-38332-BP"/>
    <s v="E-M-1"/>
    <n v="2"/>
    <x v="765"/>
    <s v="hrainforthn2@blog.com"/>
    <x v="0"/>
    <s v="Exc"/>
    <s v="M"/>
    <n v="1"/>
    <n v="13.75"/>
    <n v="27.5"/>
    <x v="1"/>
    <x v="0"/>
    <x v="1"/>
  </r>
  <r>
    <x v="796"/>
    <x v="607"/>
    <s v="80541-38332-BP"/>
    <s v="A-D-0.2"/>
    <n v="2"/>
    <x v="765"/>
    <s v="hrainforthn2@blog.com"/>
    <x v="0"/>
    <s v="Ara"/>
    <s v="D"/>
    <n v="0.2"/>
    <n v="2.9849999999999999"/>
    <n v="5.97"/>
    <x v="2"/>
    <x v="2"/>
    <x v="1"/>
  </r>
  <r>
    <x v="797"/>
    <x v="385"/>
    <s v="72778-50968-UQ"/>
    <s v="R-M-1"/>
    <n v="6"/>
    <x v="766"/>
    <s v="ijespern4@theglobeandmail.com"/>
    <x v="0"/>
    <s v="Rob"/>
    <s v="M"/>
    <n v="1"/>
    <n v="9.9499999999999993"/>
    <n v="59.699999999999996"/>
    <x v="0"/>
    <x v="0"/>
    <x v="1"/>
  </r>
  <r>
    <x v="798"/>
    <x v="608"/>
    <s v="23941-30203-MO"/>
    <s v="R-D-2.5"/>
    <n v="4"/>
    <x v="767"/>
    <s v="ldwerryhousen5@gravatar.com"/>
    <x v="0"/>
    <s v="Rob"/>
    <s v="D"/>
    <n v="2.5"/>
    <n v="20.584999999999997"/>
    <n v="82.339999999999989"/>
    <x v="0"/>
    <x v="2"/>
    <x v="0"/>
  </r>
  <r>
    <x v="799"/>
    <x v="609"/>
    <s v="96434-50068-DZ"/>
    <s v="A-D-2.5"/>
    <n v="1"/>
    <x v="768"/>
    <s v="nbroomern6@examiner.com"/>
    <x v="0"/>
    <s v="Ara"/>
    <s v="D"/>
    <n v="2.5"/>
    <n v="22.884999999999998"/>
    <n v="22.884999999999998"/>
    <x v="2"/>
    <x v="2"/>
    <x v="1"/>
  </r>
  <r>
    <x v="800"/>
    <x v="147"/>
    <s v="11729-74102-XB"/>
    <s v="E-L-0.5"/>
    <n v="1"/>
    <x v="769"/>
    <s v="kthoumassonn7@bloglovin.com"/>
    <x v="0"/>
    <s v="Exc"/>
    <s v="L"/>
    <n v="0.5"/>
    <n v="8.91"/>
    <n v="8.91"/>
    <x v="1"/>
    <x v="1"/>
    <x v="0"/>
  </r>
  <r>
    <x v="801"/>
    <x v="172"/>
    <s v="88116-12604-TE"/>
    <s v="A-D-0.2"/>
    <n v="4"/>
    <x v="770"/>
    <s v="fhabberghamn8@discovery.com"/>
    <x v="0"/>
    <s v="Ara"/>
    <s v="D"/>
    <n v="0.2"/>
    <n v="2.9849999999999999"/>
    <n v="11.94"/>
    <x v="2"/>
    <x v="2"/>
    <x v="1"/>
  </r>
  <r>
    <x v="802"/>
    <x v="610"/>
    <s v="27930-59250-JT"/>
    <s v="L-M-2.5"/>
    <n v="3"/>
    <x v="745"/>
    <s v=""/>
    <x v="0"/>
    <s v="Lib"/>
    <s v="M"/>
    <n v="2.5"/>
    <n v="33.464999999999996"/>
    <n v="100.39499999999998"/>
    <x v="3"/>
    <x v="0"/>
    <x v="1"/>
  </r>
  <r>
    <x v="803"/>
    <x v="611"/>
    <s v="13082-41034-PD"/>
    <s v="A-D-2.5"/>
    <n v="5"/>
    <x v="771"/>
    <s v="ravrashinna@tamu.edu"/>
    <x v="0"/>
    <s v="Ara"/>
    <s v="D"/>
    <n v="2.5"/>
    <n v="22.884999999999998"/>
    <n v="114.42499999999998"/>
    <x v="2"/>
    <x v="2"/>
    <x v="1"/>
  </r>
  <r>
    <x v="804"/>
    <x v="612"/>
    <s v="18082-74419-QH"/>
    <s v="E-M-0.5"/>
    <n v="5"/>
    <x v="772"/>
    <s v="mdoidgenb@etsy.com"/>
    <x v="0"/>
    <s v="Exc"/>
    <s v="M"/>
    <n v="0.5"/>
    <n v="8.25"/>
    <n v="41.25"/>
    <x v="1"/>
    <x v="0"/>
    <x v="1"/>
  </r>
  <r>
    <x v="805"/>
    <x v="613"/>
    <s v="49401-45041-ZU"/>
    <s v="R-L-0.5"/>
    <n v="4"/>
    <x v="773"/>
    <s v="jedinboronc@reverbnation.com"/>
    <x v="0"/>
    <s v="Rob"/>
    <s v="L"/>
    <n v="0.5"/>
    <n v="7.169999999999999"/>
    <n v="28.679999999999996"/>
    <x v="0"/>
    <x v="1"/>
    <x v="0"/>
  </r>
  <r>
    <x v="806"/>
    <x v="611"/>
    <s v="41252-45992-VS"/>
    <s v="L-M-0.2"/>
    <n v="1"/>
    <x v="774"/>
    <s v="ttewelsonnd@cdbaby.com"/>
    <x v="0"/>
    <s v="Lib"/>
    <s v="M"/>
    <n v="0.2"/>
    <n v="4.3650000000000002"/>
    <n v="4.3650000000000002"/>
    <x v="3"/>
    <x v="0"/>
    <x v="1"/>
  </r>
  <r>
    <x v="807"/>
    <x v="493"/>
    <s v="54798-14109-HC"/>
    <s v="E-M-0.2"/>
    <n v="2"/>
    <x v="760"/>
    <s v="oskermen3@hatena.ne.jp"/>
    <x v="0"/>
    <s v="Exc"/>
    <s v="M"/>
    <n v="0.2"/>
    <n v="4.125"/>
    <n v="8.25"/>
    <x v="1"/>
    <x v="0"/>
    <x v="0"/>
  </r>
  <r>
    <x v="808"/>
    <x v="614"/>
    <s v="00852-54571-WP"/>
    <s v="E-M-0.2"/>
    <n v="2"/>
    <x v="775"/>
    <s v="ddrewittnf@mapquest.com"/>
    <x v="0"/>
    <s v="Exc"/>
    <s v="M"/>
    <n v="0.2"/>
    <n v="4.125"/>
    <n v="8.25"/>
    <x v="1"/>
    <x v="0"/>
    <x v="0"/>
  </r>
  <r>
    <x v="809"/>
    <x v="151"/>
    <s v="13321-57602-GK"/>
    <s v="A-D-0.5"/>
    <n v="6"/>
    <x v="776"/>
    <s v="agladhillng@stanford.edu"/>
    <x v="0"/>
    <s v="Ara"/>
    <s v="D"/>
    <n v="0.5"/>
    <n v="5.97"/>
    <n v="35.82"/>
    <x v="2"/>
    <x v="2"/>
    <x v="0"/>
  </r>
  <r>
    <x v="810"/>
    <x v="489"/>
    <s v="75006-89922-VW"/>
    <s v="E-D-2.5"/>
    <n v="6"/>
    <x v="777"/>
    <s v="mlorineznh@whitehouse.gov"/>
    <x v="0"/>
    <s v="Exc"/>
    <s v="D"/>
    <n v="2.5"/>
    <n v="27.945"/>
    <n v="167.67000000000002"/>
    <x v="1"/>
    <x v="2"/>
    <x v="1"/>
  </r>
  <r>
    <x v="811"/>
    <x v="615"/>
    <s v="52098-80103-FD"/>
    <s v="A-M-2.5"/>
    <n v="2"/>
    <x v="778"/>
    <s v=""/>
    <x v="0"/>
    <s v="Ara"/>
    <s v="M"/>
    <n v="2.5"/>
    <n v="25.874999999999996"/>
    <n v="51.749999999999993"/>
    <x v="2"/>
    <x v="0"/>
    <x v="0"/>
  </r>
  <r>
    <x v="812"/>
    <x v="616"/>
    <s v="60121-12432-VU"/>
    <s v="A-D-0.2"/>
    <n v="3"/>
    <x v="779"/>
    <s v="mvannj@wikipedia.org"/>
    <x v="0"/>
    <s v="Ara"/>
    <s v="D"/>
    <n v="0.2"/>
    <n v="2.9849999999999999"/>
    <n v="8.9550000000000001"/>
    <x v="2"/>
    <x v="2"/>
    <x v="0"/>
  </r>
  <r>
    <x v="813"/>
    <x v="578"/>
    <s v="68346-14810-UA"/>
    <s v="E-L-0.5"/>
    <n v="6"/>
    <x v="780"/>
    <s v=""/>
    <x v="0"/>
    <s v="Exc"/>
    <s v="L"/>
    <n v="0.5"/>
    <n v="8.91"/>
    <n v="53.46"/>
    <x v="1"/>
    <x v="1"/>
    <x v="1"/>
  </r>
  <r>
    <x v="814"/>
    <x v="617"/>
    <s v="48464-99723-HK"/>
    <s v="A-L-0.2"/>
    <n v="6"/>
    <x v="781"/>
    <s v="jethelstonnl@creativecommons.org"/>
    <x v="0"/>
    <s v="Ara"/>
    <s v="L"/>
    <n v="0.2"/>
    <n v="3.8849999999999998"/>
    <n v="23.31"/>
    <x v="2"/>
    <x v="1"/>
    <x v="0"/>
  </r>
  <r>
    <x v="814"/>
    <x v="617"/>
    <s v="48464-99723-HK"/>
    <s v="A-M-0.2"/>
    <n v="2"/>
    <x v="781"/>
    <s v="jethelstonnl@creativecommons.org"/>
    <x v="0"/>
    <s v="Ara"/>
    <s v="M"/>
    <n v="0.2"/>
    <n v="3.375"/>
    <n v="6.75"/>
    <x v="2"/>
    <x v="0"/>
    <x v="0"/>
  </r>
  <r>
    <x v="815"/>
    <x v="155"/>
    <s v="88420-46464-XE"/>
    <s v="L-D-0.5"/>
    <n v="1"/>
    <x v="782"/>
    <s v="peberznn@woothemes.com"/>
    <x v="0"/>
    <s v="Lib"/>
    <s v="D"/>
    <n v="0.5"/>
    <n v="7.77"/>
    <n v="7.77"/>
    <x v="3"/>
    <x v="2"/>
    <x v="0"/>
  </r>
  <r>
    <x v="816"/>
    <x v="461"/>
    <s v="37762-09530-MP"/>
    <s v="L-D-2.5"/>
    <n v="4"/>
    <x v="783"/>
    <s v="bgaishno@altervista.org"/>
    <x v="0"/>
    <s v="Lib"/>
    <s v="D"/>
    <n v="2.5"/>
    <n v="29.784999999999997"/>
    <n v="119.13999999999999"/>
    <x v="3"/>
    <x v="2"/>
    <x v="0"/>
  </r>
  <r>
    <x v="817"/>
    <x v="87"/>
    <s v="47268-50127-XY"/>
    <s v="A-D-1"/>
    <n v="2"/>
    <x v="784"/>
    <s v="ldantonnp@miitbeian.gov.cn"/>
    <x v="0"/>
    <s v="Ara"/>
    <s v="D"/>
    <n v="1"/>
    <n v="9.9499999999999993"/>
    <n v="19.899999999999999"/>
    <x v="2"/>
    <x v="2"/>
    <x v="1"/>
  </r>
  <r>
    <x v="818"/>
    <x v="618"/>
    <s v="25544-84179-QC"/>
    <s v="R-L-0.5"/>
    <n v="5"/>
    <x v="785"/>
    <s v="smorrallnq@answers.com"/>
    <x v="0"/>
    <s v="Rob"/>
    <s v="L"/>
    <n v="0.5"/>
    <n v="7.169999999999999"/>
    <n v="35.849999999999994"/>
    <x v="0"/>
    <x v="1"/>
    <x v="0"/>
  </r>
  <r>
    <x v="819"/>
    <x v="619"/>
    <s v="32058-76765-ZL"/>
    <s v="L-D-2.5"/>
    <n v="3"/>
    <x v="786"/>
    <s v="dcrownshawnr@photobucket.com"/>
    <x v="0"/>
    <s v="Lib"/>
    <s v="D"/>
    <n v="2.5"/>
    <n v="29.784999999999997"/>
    <n v="89.35499999999999"/>
    <x v="3"/>
    <x v="2"/>
    <x v="1"/>
  </r>
  <r>
    <x v="820"/>
    <x v="440"/>
    <s v="54798-14109-HC"/>
    <s v="L-M-0.2"/>
    <n v="2"/>
    <x v="760"/>
    <s v="oskermen3@hatena.ne.jp"/>
    <x v="0"/>
    <s v="Lib"/>
    <s v="M"/>
    <n v="0.2"/>
    <n v="4.3650000000000002"/>
    <n v="8.73"/>
    <x v="3"/>
    <x v="0"/>
    <x v="0"/>
  </r>
  <r>
    <x v="821"/>
    <x v="489"/>
    <s v="69171-65646-UC"/>
    <s v="R-L-2.5"/>
    <n v="5"/>
    <x v="787"/>
    <s v="jreddochnt@sun.com"/>
    <x v="0"/>
    <s v="Rob"/>
    <s v="L"/>
    <n v="2.5"/>
    <n v="27.484999999999996"/>
    <n v="137.42499999999998"/>
    <x v="0"/>
    <x v="1"/>
    <x v="1"/>
  </r>
  <r>
    <x v="822"/>
    <x v="620"/>
    <s v="22503-52799-MI"/>
    <s v="L-M-0.5"/>
    <n v="4"/>
    <x v="788"/>
    <s v="stitleynu@whitehouse.gov"/>
    <x v="0"/>
    <s v="Lib"/>
    <s v="M"/>
    <n v="0.5"/>
    <n v="8.73"/>
    <n v="34.92"/>
    <x v="3"/>
    <x v="0"/>
    <x v="1"/>
  </r>
  <r>
    <x v="823"/>
    <x v="621"/>
    <s v="08934-65581-ZI"/>
    <s v="A-L-2.5"/>
    <n v="6"/>
    <x v="789"/>
    <s v="rsimaonv@simplemachines.org"/>
    <x v="0"/>
    <s v="Ara"/>
    <s v="L"/>
    <n v="2.5"/>
    <n v="29.784999999999997"/>
    <n v="178.70999999999998"/>
    <x v="2"/>
    <x v="1"/>
    <x v="1"/>
  </r>
  <r>
    <x v="824"/>
    <x v="374"/>
    <s v="15764-22559-ZT"/>
    <s v="A-M-2.5"/>
    <n v="1"/>
    <x v="790"/>
    <s v=""/>
    <x v="0"/>
    <s v="Ara"/>
    <s v="M"/>
    <n v="2.5"/>
    <n v="25.874999999999996"/>
    <n v="25.874999999999996"/>
    <x v="2"/>
    <x v="0"/>
    <x v="1"/>
  </r>
  <r>
    <x v="825"/>
    <x v="345"/>
    <s v="87519-68847-ZG"/>
    <s v="L-D-1"/>
    <n v="6"/>
    <x v="791"/>
    <s v="nchisholmnx@example.com"/>
    <x v="0"/>
    <s v="Lib"/>
    <s v="D"/>
    <n v="1"/>
    <n v="12.95"/>
    <n v="77.699999999999989"/>
    <x v="3"/>
    <x v="2"/>
    <x v="0"/>
  </r>
  <r>
    <x v="826"/>
    <x v="622"/>
    <s v="78012-56878-UB"/>
    <s v="R-M-1"/>
    <n v="1"/>
    <x v="792"/>
    <s v="goatsny@live.com"/>
    <x v="0"/>
    <s v="Rob"/>
    <s v="M"/>
    <n v="1"/>
    <n v="9.9499999999999993"/>
    <n v="9.9499999999999993"/>
    <x v="0"/>
    <x v="0"/>
    <x v="0"/>
  </r>
  <r>
    <x v="827"/>
    <x v="623"/>
    <s v="77192-72145-RG"/>
    <s v="L-M-1"/>
    <n v="2"/>
    <x v="793"/>
    <s v="mbirkinnz@java.com"/>
    <x v="0"/>
    <s v="Lib"/>
    <s v="M"/>
    <n v="1"/>
    <n v="14.55"/>
    <n v="29.1"/>
    <x v="3"/>
    <x v="0"/>
    <x v="0"/>
  </r>
  <r>
    <x v="828"/>
    <x v="354"/>
    <s v="86071-79238-CX"/>
    <s v="R-L-0.2"/>
    <n v="6"/>
    <x v="794"/>
    <s v="rpysono0@constantcontact.com"/>
    <x v="1"/>
    <s v="Rob"/>
    <s v="L"/>
    <n v="0.2"/>
    <n v="3.5849999999999995"/>
    <n v="21.509999999999998"/>
    <x v="0"/>
    <x v="1"/>
    <x v="1"/>
  </r>
  <r>
    <x v="829"/>
    <x v="624"/>
    <s v="16809-16936-WF"/>
    <s v="A-M-0.5"/>
    <n v="1"/>
    <x v="795"/>
    <s v="mmacconnechieo9@reuters.com"/>
    <x v="0"/>
    <s v="Ara"/>
    <s v="M"/>
    <n v="0.5"/>
    <n v="6.75"/>
    <n v="6.75"/>
    <x v="2"/>
    <x v="0"/>
    <x v="0"/>
  </r>
  <r>
    <x v="830"/>
    <x v="561"/>
    <s v="11212-69985-ZJ"/>
    <s v="A-D-0.5"/>
    <n v="3"/>
    <x v="796"/>
    <s v="rtreachero2@usa.gov"/>
    <x v="1"/>
    <s v="Ara"/>
    <s v="D"/>
    <n v="0.5"/>
    <n v="5.97"/>
    <n v="17.91"/>
    <x v="2"/>
    <x v="2"/>
    <x v="1"/>
  </r>
  <r>
    <x v="831"/>
    <x v="42"/>
    <s v="53893-01719-CL"/>
    <s v="A-L-2.5"/>
    <n v="1"/>
    <x v="797"/>
    <s v="bfattorinio3@quantcast.com"/>
    <x v="1"/>
    <s v="Ara"/>
    <s v="L"/>
    <n v="2.5"/>
    <n v="29.784999999999997"/>
    <n v="29.784999999999997"/>
    <x v="2"/>
    <x v="1"/>
    <x v="0"/>
  </r>
  <r>
    <x v="832"/>
    <x v="267"/>
    <s v="66028-99867-WJ"/>
    <s v="E-M-0.5"/>
    <n v="5"/>
    <x v="798"/>
    <s v="mpalleskeo4@nyu.edu"/>
    <x v="0"/>
    <s v="Exc"/>
    <s v="M"/>
    <n v="0.5"/>
    <n v="8.25"/>
    <n v="41.25"/>
    <x v="1"/>
    <x v="0"/>
    <x v="0"/>
  </r>
  <r>
    <x v="833"/>
    <x v="625"/>
    <s v="62839-56723-CH"/>
    <s v="R-M-0.5"/>
    <n v="3"/>
    <x v="799"/>
    <s v=""/>
    <x v="0"/>
    <s v="Rob"/>
    <s v="M"/>
    <n v="0.5"/>
    <n v="5.97"/>
    <n v="17.91"/>
    <x v="0"/>
    <x v="0"/>
    <x v="0"/>
  </r>
  <r>
    <x v="834"/>
    <x v="616"/>
    <s v="96849-52854-CR"/>
    <s v="E-D-0.5"/>
    <n v="1"/>
    <x v="800"/>
    <s v="fantcliffeo6@amazon.co.jp"/>
    <x v="1"/>
    <s v="Exc"/>
    <s v="D"/>
    <n v="0.5"/>
    <n v="7.29"/>
    <n v="7.29"/>
    <x v="1"/>
    <x v="2"/>
    <x v="0"/>
  </r>
  <r>
    <x v="835"/>
    <x v="626"/>
    <s v="19755-55847-VW"/>
    <s v="E-L-1"/>
    <n v="2"/>
    <x v="801"/>
    <s v="pmatignono7@harvard.edu"/>
    <x v="2"/>
    <s v="Exc"/>
    <s v="L"/>
    <n v="1"/>
    <n v="14.85"/>
    <n v="29.7"/>
    <x v="1"/>
    <x v="1"/>
    <x v="0"/>
  </r>
  <r>
    <x v="836"/>
    <x v="52"/>
    <s v="32900-82606-BO"/>
    <s v="A-M-1"/>
    <n v="2"/>
    <x v="802"/>
    <s v="cweondo8@theglobeandmail.com"/>
    <x v="0"/>
    <s v="Ara"/>
    <s v="M"/>
    <n v="1"/>
    <n v="11.25"/>
    <n v="22.5"/>
    <x v="2"/>
    <x v="0"/>
    <x v="1"/>
  </r>
  <r>
    <x v="837"/>
    <x v="622"/>
    <s v="16809-16936-WF"/>
    <s v="R-M-0.2"/>
    <n v="4"/>
    <x v="795"/>
    <s v="mmacconnechieo9@reuters.com"/>
    <x v="0"/>
    <s v="Rob"/>
    <s v="M"/>
    <n v="0.2"/>
    <n v="2.9849999999999999"/>
    <n v="11.94"/>
    <x v="0"/>
    <x v="0"/>
    <x v="0"/>
  </r>
  <r>
    <x v="838"/>
    <x v="627"/>
    <s v="20118-28138-QD"/>
    <s v="A-L-1"/>
    <n v="2"/>
    <x v="803"/>
    <s v="jskentelberyoa@paypal.com"/>
    <x v="0"/>
    <s v="Ara"/>
    <s v="L"/>
    <n v="1"/>
    <n v="12.95"/>
    <n v="25.9"/>
    <x v="2"/>
    <x v="1"/>
    <x v="1"/>
  </r>
  <r>
    <x v="839"/>
    <x v="628"/>
    <s v="84057-45461-AH"/>
    <s v="L-M-0.5"/>
    <n v="5"/>
    <x v="804"/>
    <s v="ocomberob@goo.gl"/>
    <x v="1"/>
    <s v="Lib"/>
    <s v="M"/>
    <n v="0.5"/>
    <n v="8.73"/>
    <n v="43.650000000000006"/>
    <x v="3"/>
    <x v="0"/>
    <x v="1"/>
  </r>
  <r>
    <x v="839"/>
    <x v="628"/>
    <s v="84057-45461-AH"/>
    <s v="A-L-0.5"/>
    <n v="6"/>
    <x v="804"/>
    <s v="ocomberob@goo.gl"/>
    <x v="1"/>
    <s v="Ara"/>
    <s v="L"/>
    <n v="0.5"/>
    <n v="7.77"/>
    <n v="46.62"/>
    <x v="2"/>
    <x v="1"/>
    <x v="1"/>
  </r>
  <r>
    <x v="840"/>
    <x v="629"/>
    <s v="90882-88130-KQ"/>
    <s v="L-L-0.5"/>
    <n v="3"/>
    <x v="805"/>
    <s v="ztramelod@netlog.com"/>
    <x v="0"/>
    <s v="Lib"/>
    <s v="L"/>
    <n v="0.5"/>
    <n v="9.51"/>
    <n v="28.53"/>
    <x v="3"/>
    <x v="1"/>
    <x v="1"/>
  </r>
  <r>
    <x v="841"/>
    <x v="630"/>
    <s v="21617-79890-DD"/>
    <s v="R-L-2.5"/>
    <n v="1"/>
    <x v="806"/>
    <s v=""/>
    <x v="0"/>
    <s v="Rob"/>
    <s v="L"/>
    <n v="2.5"/>
    <n v="27.484999999999996"/>
    <n v="27.484999999999996"/>
    <x v="0"/>
    <x v="1"/>
    <x v="0"/>
  </r>
  <r>
    <x v="842"/>
    <x v="631"/>
    <s v="20256-54689-LO"/>
    <s v="E-D-0.2"/>
    <n v="3"/>
    <x v="807"/>
    <s v=""/>
    <x v="0"/>
    <s v="Exc"/>
    <s v="D"/>
    <n v="0.2"/>
    <n v="3.645"/>
    <n v="10.935"/>
    <x v="1"/>
    <x v="2"/>
    <x v="1"/>
  </r>
  <r>
    <x v="843"/>
    <x v="229"/>
    <s v="17572-27091-AA"/>
    <s v="R-L-0.2"/>
    <n v="2"/>
    <x v="808"/>
    <s v="chatfullog@ebay.com"/>
    <x v="0"/>
    <s v="Rob"/>
    <s v="L"/>
    <n v="0.2"/>
    <n v="3.5849999999999995"/>
    <n v="7.169999999999999"/>
    <x v="0"/>
    <x v="1"/>
    <x v="1"/>
  </r>
  <r>
    <x v="844"/>
    <x v="632"/>
    <s v="82300-88786-UE"/>
    <s v="A-L-0.2"/>
    <n v="6"/>
    <x v="809"/>
    <s v=""/>
    <x v="0"/>
    <s v="Ara"/>
    <s v="L"/>
    <n v="0.2"/>
    <n v="3.8849999999999998"/>
    <n v="23.31"/>
    <x v="2"/>
    <x v="1"/>
    <x v="0"/>
  </r>
  <r>
    <x v="845"/>
    <x v="633"/>
    <s v="65732-22589-OW"/>
    <s v="A-D-2.5"/>
    <n v="5"/>
    <x v="810"/>
    <s v="kmarrisonoq@dropbox.com"/>
    <x v="0"/>
    <s v="Ara"/>
    <s v="D"/>
    <n v="2.5"/>
    <n v="22.884999999999998"/>
    <n v="114.42499999999998"/>
    <x v="2"/>
    <x v="2"/>
    <x v="0"/>
  </r>
  <r>
    <x v="846"/>
    <x v="95"/>
    <s v="77175-09826-SF"/>
    <s v="A-M-2.5"/>
    <n v="3"/>
    <x v="811"/>
    <s v="lagnolooj@pinterest.com"/>
    <x v="0"/>
    <s v="Ara"/>
    <s v="M"/>
    <n v="2.5"/>
    <n v="25.874999999999996"/>
    <n v="77.624999999999986"/>
    <x v="2"/>
    <x v="0"/>
    <x v="0"/>
  </r>
  <r>
    <x v="847"/>
    <x v="521"/>
    <s v="07237-32539-NB"/>
    <s v="R-D-0.5"/>
    <n v="1"/>
    <x v="812"/>
    <s v="dkiddyok@fda.gov"/>
    <x v="0"/>
    <s v="Rob"/>
    <s v="D"/>
    <n v="0.5"/>
    <n v="5.3699999999999992"/>
    <n v="5.3699999999999992"/>
    <x v="0"/>
    <x v="2"/>
    <x v="0"/>
  </r>
  <r>
    <x v="848"/>
    <x v="76"/>
    <s v="54722-76431-EX"/>
    <s v="R-D-2.5"/>
    <n v="6"/>
    <x v="813"/>
    <s v="hpetroulisol@state.tx.us"/>
    <x v="1"/>
    <s v="Rob"/>
    <s v="D"/>
    <n v="2.5"/>
    <n v="20.584999999999997"/>
    <n v="123.50999999999999"/>
    <x v="0"/>
    <x v="2"/>
    <x v="1"/>
  </r>
  <r>
    <x v="849"/>
    <x v="634"/>
    <s v="67847-82662-TE"/>
    <s v="L-M-0.5"/>
    <n v="2"/>
    <x v="814"/>
    <s v="mschollom@taobao.com"/>
    <x v="0"/>
    <s v="Lib"/>
    <s v="M"/>
    <n v="0.5"/>
    <n v="8.73"/>
    <n v="17.46"/>
    <x v="3"/>
    <x v="0"/>
    <x v="1"/>
  </r>
  <r>
    <x v="850"/>
    <x v="635"/>
    <s v="51114-51191-EW"/>
    <s v="E-L-0.2"/>
    <n v="3"/>
    <x v="815"/>
    <s v="kfersonon@g.co"/>
    <x v="0"/>
    <s v="Exc"/>
    <s v="L"/>
    <n v="0.2"/>
    <n v="4.4550000000000001"/>
    <n v="13.365"/>
    <x v="1"/>
    <x v="1"/>
    <x v="1"/>
  </r>
  <r>
    <x v="851"/>
    <x v="636"/>
    <s v="91809-58808-TV"/>
    <s v="A-L-0.2"/>
    <n v="2"/>
    <x v="816"/>
    <s v="bkellowayoo@omniture.com"/>
    <x v="0"/>
    <s v="Ara"/>
    <s v="L"/>
    <n v="0.2"/>
    <n v="3.8849999999999998"/>
    <n v="7.77"/>
    <x v="2"/>
    <x v="1"/>
    <x v="0"/>
  </r>
  <r>
    <x v="852"/>
    <x v="637"/>
    <s v="84996-26826-DK"/>
    <s v="R-D-0.2"/>
    <n v="1"/>
    <x v="817"/>
    <s v="soliffeop@yellowbook.com"/>
    <x v="0"/>
    <s v="Rob"/>
    <s v="D"/>
    <n v="0.2"/>
    <n v="2.6849999999999996"/>
    <n v="2.6849999999999996"/>
    <x v="0"/>
    <x v="2"/>
    <x v="0"/>
  </r>
  <r>
    <x v="853"/>
    <x v="182"/>
    <s v="65732-22589-OW"/>
    <s v="R-D-2.5"/>
    <n v="1"/>
    <x v="810"/>
    <s v="kmarrisonoq@dropbox.com"/>
    <x v="0"/>
    <s v="Rob"/>
    <s v="D"/>
    <n v="2.5"/>
    <n v="20.584999999999997"/>
    <n v="20.584999999999997"/>
    <x v="0"/>
    <x v="2"/>
    <x v="0"/>
  </r>
  <r>
    <x v="854"/>
    <x v="479"/>
    <s v="93676-95250-XJ"/>
    <s v="A-D-2.5"/>
    <n v="5"/>
    <x v="818"/>
    <s v="cdolohuntyor@dailymail.co.uk"/>
    <x v="0"/>
    <s v="Ara"/>
    <s v="D"/>
    <n v="2.5"/>
    <n v="22.884999999999998"/>
    <n v="114.42499999999998"/>
    <x v="2"/>
    <x v="2"/>
    <x v="0"/>
  </r>
  <r>
    <x v="855"/>
    <x v="638"/>
    <s v="28300-14355-GF"/>
    <s v="E-M-0.2"/>
    <n v="5"/>
    <x v="819"/>
    <s v="pvasilenkoos@addtoany.com"/>
    <x v="2"/>
    <s v="Exc"/>
    <s v="M"/>
    <n v="0.2"/>
    <n v="4.125"/>
    <n v="20.625"/>
    <x v="1"/>
    <x v="0"/>
    <x v="1"/>
  </r>
  <r>
    <x v="856"/>
    <x v="639"/>
    <s v="91190-84826-IQ"/>
    <s v="L-L-0.5"/>
    <n v="6"/>
    <x v="820"/>
    <s v="rschankelborgot@ameblo.jp"/>
    <x v="0"/>
    <s v="Lib"/>
    <s v="L"/>
    <n v="0.5"/>
    <n v="9.51"/>
    <n v="57.06"/>
    <x v="3"/>
    <x v="1"/>
    <x v="0"/>
  </r>
  <r>
    <x v="857"/>
    <x v="640"/>
    <s v="34570-99384-AF"/>
    <s v="R-D-2.5"/>
    <n v="4"/>
    <x v="821"/>
    <s v=""/>
    <x v="1"/>
    <s v="Rob"/>
    <s v="D"/>
    <n v="2.5"/>
    <n v="20.584999999999997"/>
    <n v="82.339999999999989"/>
    <x v="0"/>
    <x v="2"/>
    <x v="0"/>
  </r>
  <r>
    <x v="858"/>
    <x v="612"/>
    <s v="57808-90533-UE"/>
    <s v="E-M-2.5"/>
    <n v="5"/>
    <x v="822"/>
    <s v=""/>
    <x v="0"/>
    <s v="Exc"/>
    <s v="M"/>
    <n v="2.5"/>
    <n v="31.624999999999996"/>
    <n v="158.12499999999997"/>
    <x v="1"/>
    <x v="0"/>
    <x v="1"/>
  </r>
  <r>
    <x v="859"/>
    <x v="641"/>
    <s v="76060-30540-LB"/>
    <s v="R-D-0.5"/>
    <n v="6"/>
    <x v="823"/>
    <s v="bcargenow@geocities.jp"/>
    <x v="0"/>
    <s v="Rob"/>
    <s v="D"/>
    <n v="0.5"/>
    <n v="5.3699999999999992"/>
    <n v="32.22"/>
    <x v="0"/>
    <x v="2"/>
    <x v="0"/>
  </r>
  <r>
    <x v="860"/>
    <x v="36"/>
    <s v="76730-63769-ND"/>
    <s v="E-D-1"/>
    <n v="2"/>
    <x v="824"/>
    <s v="rsticklerox@printfriendly.com"/>
    <x v="2"/>
    <s v="Exc"/>
    <s v="D"/>
    <n v="1"/>
    <n v="12.15"/>
    <n v="24.3"/>
    <x v="1"/>
    <x v="2"/>
    <x v="1"/>
  </r>
  <r>
    <x v="861"/>
    <x v="642"/>
    <s v="96042-27290-EQ"/>
    <s v="R-L-0.5"/>
    <n v="5"/>
    <x v="825"/>
    <s v=""/>
    <x v="0"/>
    <s v="Rob"/>
    <s v="L"/>
    <n v="0.5"/>
    <n v="7.169999999999999"/>
    <n v="35.849999999999994"/>
    <x v="0"/>
    <x v="1"/>
    <x v="1"/>
  </r>
  <r>
    <x v="862"/>
    <x v="219"/>
    <s v="57808-90533-UE"/>
    <s v="L-M-1"/>
    <n v="5"/>
    <x v="822"/>
    <s v=""/>
    <x v="0"/>
    <s v="Lib"/>
    <s v="M"/>
    <n v="1"/>
    <n v="14.55"/>
    <n v="72.75"/>
    <x v="3"/>
    <x v="0"/>
    <x v="1"/>
  </r>
  <r>
    <x v="863"/>
    <x v="643"/>
    <s v="51940-02669-OR"/>
    <s v="L-L-1"/>
    <n v="3"/>
    <x v="826"/>
    <s v=""/>
    <x v="1"/>
    <s v="Lib"/>
    <s v="L"/>
    <n v="1"/>
    <n v="15.85"/>
    <n v="47.55"/>
    <x v="3"/>
    <x v="1"/>
    <x v="1"/>
  </r>
  <r>
    <x v="864"/>
    <x v="644"/>
    <s v="99144-98314-GN"/>
    <s v="R-L-0.2"/>
    <n v="1"/>
    <x v="827"/>
    <s v="djevonp1@ibm.com"/>
    <x v="0"/>
    <s v="Rob"/>
    <s v="L"/>
    <n v="0.2"/>
    <n v="3.5849999999999995"/>
    <n v="3.5849999999999995"/>
    <x v="0"/>
    <x v="1"/>
    <x v="0"/>
  </r>
  <r>
    <x v="865"/>
    <x v="136"/>
    <s v="16358-63919-CE"/>
    <s v="E-M-2.5"/>
    <n v="5"/>
    <x v="828"/>
    <s v="hrannerp2@omniture.com"/>
    <x v="0"/>
    <s v="Exc"/>
    <s v="M"/>
    <n v="2.5"/>
    <n v="31.624999999999996"/>
    <n v="158.12499999999997"/>
    <x v="1"/>
    <x v="0"/>
    <x v="1"/>
  </r>
  <r>
    <x v="866"/>
    <x v="645"/>
    <s v="67743-54817-UT"/>
    <s v="L-M-0.5"/>
    <n v="2"/>
    <x v="829"/>
    <s v="bimriep3@addtoany.com"/>
    <x v="0"/>
    <s v="Lib"/>
    <s v="M"/>
    <n v="0.5"/>
    <n v="8.73"/>
    <n v="17.46"/>
    <x v="3"/>
    <x v="0"/>
    <x v="1"/>
  </r>
  <r>
    <x v="867"/>
    <x v="646"/>
    <s v="44601-51441-BH"/>
    <s v="A-L-2.5"/>
    <n v="5"/>
    <x v="830"/>
    <s v="dsopperp4@eventbrite.com"/>
    <x v="0"/>
    <s v="Ara"/>
    <s v="L"/>
    <n v="2.5"/>
    <n v="29.784999999999997"/>
    <n v="148.92499999999998"/>
    <x v="2"/>
    <x v="1"/>
    <x v="1"/>
  </r>
  <r>
    <x v="868"/>
    <x v="647"/>
    <s v="97201-58870-WB"/>
    <s v="A-M-0.5"/>
    <n v="6"/>
    <x v="831"/>
    <s v=""/>
    <x v="0"/>
    <s v="Ara"/>
    <s v="M"/>
    <n v="0.5"/>
    <n v="6.75"/>
    <n v="40.5"/>
    <x v="2"/>
    <x v="0"/>
    <x v="0"/>
  </r>
  <r>
    <x v="869"/>
    <x v="591"/>
    <s v="19849-12926-QF"/>
    <s v="A-M-0.5"/>
    <n v="4"/>
    <x v="832"/>
    <s v="lledgleyp6@de.vu"/>
    <x v="0"/>
    <s v="Ara"/>
    <s v="M"/>
    <n v="0.5"/>
    <n v="6.75"/>
    <n v="27"/>
    <x v="2"/>
    <x v="0"/>
    <x v="0"/>
  </r>
  <r>
    <x v="870"/>
    <x v="648"/>
    <s v="40535-56770-UM"/>
    <s v="L-D-1"/>
    <n v="3"/>
    <x v="833"/>
    <s v="tmenaryp7@phoca.cz"/>
    <x v="0"/>
    <s v="Lib"/>
    <s v="D"/>
    <n v="1"/>
    <n v="12.95"/>
    <n v="38.849999999999994"/>
    <x v="3"/>
    <x v="2"/>
    <x v="1"/>
  </r>
  <r>
    <x v="871"/>
    <x v="191"/>
    <s v="74940-09646-MU"/>
    <s v="R-L-1"/>
    <n v="5"/>
    <x v="834"/>
    <s v="gciccottip8@so-net.ne.jp"/>
    <x v="0"/>
    <s v="Rob"/>
    <s v="L"/>
    <n v="1"/>
    <n v="11.95"/>
    <n v="59.75"/>
    <x v="0"/>
    <x v="1"/>
    <x v="1"/>
  </r>
  <r>
    <x v="872"/>
    <x v="649"/>
    <s v="06623-54610-HC"/>
    <s v="R-L-0.2"/>
    <n v="3"/>
    <x v="835"/>
    <s v=""/>
    <x v="0"/>
    <s v="Rob"/>
    <s v="L"/>
    <n v="0.2"/>
    <n v="3.5849999999999995"/>
    <n v="10.754999999999999"/>
    <x v="0"/>
    <x v="1"/>
    <x v="1"/>
  </r>
  <r>
    <x v="873"/>
    <x v="553"/>
    <s v="89490-75361-AF"/>
    <s v="A-D-2.5"/>
    <n v="4"/>
    <x v="836"/>
    <s v="wjallinpa@pcworld.com"/>
    <x v="0"/>
    <s v="Ara"/>
    <s v="D"/>
    <n v="2.5"/>
    <n v="22.884999999999998"/>
    <n v="91.539999999999992"/>
    <x v="2"/>
    <x v="2"/>
    <x v="1"/>
  </r>
  <r>
    <x v="874"/>
    <x v="584"/>
    <s v="94526-79230-GZ"/>
    <s v="A-M-1"/>
    <n v="4"/>
    <x v="837"/>
    <s v="mbogeypb@thetimes.co.uk"/>
    <x v="0"/>
    <s v="Ara"/>
    <s v="M"/>
    <n v="1"/>
    <n v="11.25"/>
    <n v="45"/>
    <x v="2"/>
    <x v="0"/>
    <x v="0"/>
  </r>
  <r>
    <x v="875"/>
    <x v="650"/>
    <s v="58559-08254-UY"/>
    <s v="R-M-2.5"/>
    <n v="6"/>
    <x v="838"/>
    <s v=""/>
    <x v="0"/>
    <s v="Rob"/>
    <s v="M"/>
    <n v="2.5"/>
    <n v="22.884999999999998"/>
    <n v="137.31"/>
    <x v="0"/>
    <x v="0"/>
    <x v="0"/>
  </r>
  <r>
    <x v="876"/>
    <x v="121"/>
    <s v="88574-37083-WX"/>
    <s v="A-M-0.5"/>
    <n v="1"/>
    <x v="839"/>
    <s v="mcobbledickpd@ucsd.edu"/>
    <x v="0"/>
    <s v="Ara"/>
    <s v="M"/>
    <n v="0.5"/>
    <n v="6.75"/>
    <n v="6.75"/>
    <x v="2"/>
    <x v="0"/>
    <x v="1"/>
  </r>
  <r>
    <x v="877"/>
    <x v="472"/>
    <s v="67953-79896-AC"/>
    <s v="A-M-1"/>
    <n v="4"/>
    <x v="840"/>
    <s v="alewrype@whitehouse.gov"/>
    <x v="0"/>
    <s v="Ara"/>
    <s v="M"/>
    <n v="1"/>
    <n v="11.25"/>
    <n v="45"/>
    <x v="2"/>
    <x v="0"/>
    <x v="1"/>
  </r>
  <r>
    <x v="878"/>
    <x v="594"/>
    <s v="69207-93422-CQ"/>
    <s v="E-D-2.5"/>
    <n v="3"/>
    <x v="841"/>
    <s v="ihesselpf@ox.ac.uk"/>
    <x v="0"/>
    <s v="Exc"/>
    <s v="D"/>
    <n v="2.5"/>
    <n v="27.945"/>
    <n v="83.835000000000008"/>
    <x v="1"/>
    <x v="2"/>
    <x v="0"/>
  </r>
  <r>
    <x v="879"/>
    <x v="89"/>
    <s v="56060-17602-RG"/>
    <s v="E-D-0.2"/>
    <n v="1"/>
    <x v="842"/>
    <s v=""/>
    <x v="1"/>
    <s v="Exc"/>
    <s v="D"/>
    <n v="0.2"/>
    <n v="3.645"/>
    <n v="3.645"/>
    <x v="1"/>
    <x v="2"/>
    <x v="0"/>
  </r>
  <r>
    <x v="880"/>
    <x v="651"/>
    <s v="46859-14212-FI"/>
    <s v="A-M-0.5"/>
    <n v="1"/>
    <x v="843"/>
    <s v="csorrellph@amazon.com"/>
    <x v="2"/>
    <s v="Ara"/>
    <s v="M"/>
    <n v="0.5"/>
    <n v="6.75"/>
    <n v="6.75"/>
    <x v="2"/>
    <x v="0"/>
    <x v="1"/>
  </r>
  <r>
    <x v="880"/>
    <x v="651"/>
    <s v="46859-14212-FI"/>
    <s v="E-D-0.5"/>
    <n v="3"/>
    <x v="843"/>
    <s v="csorrellph@amazon.com"/>
    <x v="2"/>
    <s v="Exc"/>
    <s v="D"/>
    <n v="0.5"/>
    <n v="7.29"/>
    <n v="21.87"/>
    <x v="1"/>
    <x v="2"/>
    <x v="1"/>
  </r>
  <r>
    <x v="881"/>
    <x v="249"/>
    <s v="33555-01585-RP"/>
    <s v="R-D-0.2"/>
    <n v="5"/>
    <x v="844"/>
    <s v="qheavysidepj@unc.edu"/>
    <x v="0"/>
    <s v="Rob"/>
    <s v="D"/>
    <n v="0.2"/>
    <n v="2.6849999999999996"/>
    <n v="13.424999999999997"/>
    <x v="0"/>
    <x v="2"/>
    <x v="0"/>
  </r>
  <r>
    <x v="882"/>
    <x v="652"/>
    <s v="11932-85629-CU"/>
    <s v="R-D-2.5"/>
    <n v="6"/>
    <x v="845"/>
    <s v="hreuvenpk@whitehouse.gov"/>
    <x v="0"/>
    <s v="Rob"/>
    <s v="D"/>
    <n v="2.5"/>
    <n v="20.584999999999997"/>
    <n v="123.50999999999999"/>
    <x v="0"/>
    <x v="2"/>
    <x v="1"/>
  </r>
  <r>
    <x v="883"/>
    <x v="653"/>
    <s v="36192-07175-XC"/>
    <s v="L-D-0.2"/>
    <n v="2"/>
    <x v="846"/>
    <s v="mattwoolpl@nba.com"/>
    <x v="0"/>
    <s v="Lib"/>
    <s v="D"/>
    <n v="0.2"/>
    <n v="3.8849999999999998"/>
    <n v="7.77"/>
    <x v="3"/>
    <x v="2"/>
    <x v="1"/>
  </r>
  <r>
    <x v="884"/>
    <x v="177"/>
    <s v="46242-54946-ZW"/>
    <s v="A-M-1"/>
    <n v="6"/>
    <x v="847"/>
    <s v=""/>
    <x v="0"/>
    <s v="Ara"/>
    <s v="M"/>
    <n v="1"/>
    <n v="11.25"/>
    <n v="67.5"/>
    <x v="2"/>
    <x v="0"/>
    <x v="0"/>
  </r>
  <r>
    <x v="885"/>
    <x v="22"/>
    <s v="95152-82155-VQ"/>
    <s v="E-D-2.5"/>
    <n v="1"/>
    <x v="848"/>
    <s v="gwynespn@dagondesign.com"/>
    <x v="0"/>
    <s v="Exc"/>
    <s v="D"/>
    <n v="2.5"/>
    <n v="27.945"/>
    <n v="27.945"/>
    <x v="1"/>
    <x v="2"/>
    <x v="1"/>
  </r>
  <r>
    <x v="886"/>
    <x v="508"/>
    <s v="13404-39127-WQ"/>
    <s v="A-L-2.5"/>
    <n v="3"/>
    <x v="849"/>
    <s v="cmaccourtpo@amazon.com"/>
    <x v="0"/>
    <s v="Ara"/>
    <s v="L"/>
    <n v="2.5"/>
    <n v="29.784999999999997"/>
    <n v="89.35499999999999"/>
    <x v="2"/>
    <x v="1"/>
    <x v="1"/>
  </r>
  <r>
    <x v="887"/>
    <x v="654"/>
    <s v="57808-90533-UE"/>
    <s v="A-M-0.5"/>
    <n v="3"/>
    <x v="822"/>
    <s v=""/>
    <x v="0"/>
    <s v="Ara"/>
    <s v="M"/>
    <n v="0.5"/>
    <n v="6.75"/>
    <n v="20.25"/>
    <x v="2"/>
    <x v="0"/>
    <x v="1"/>
  </r>
  <r>
    <x v="888"/>
    <x v="524"/>
    <s v="40226-52317-IO"/>
    <s v="A-M-0.5"/>
    <n v="5"/>
    <x v="850"/>
    <s v="ewilsonepq@eepurl.com"/>
    <x v="0"/>
    <s v="Ara"/>
    <s v="M"/>
    <n v="0.5"/>
    <n v="6.75"/>
    <n v="33.75"/>
    <x v="2"/>
    <x v="0"/>
    <x v="0"/>
  </r>
  <r>
    <x v="889"/>
    <x v="655"/>
    <s v="34419-18068-AG"/>
    <s v="E-D-2.5"/>
    <n v="4"/>
    <x v="851"/>
    <s v="dduffiepr@time.com"/>
    <x v="0"/>
    <s v="Exc"/>
    <s v="D"/>
    <n v="2.5"/>
    <n v="27.945"/>
    <n v="111.78"/>
    <x v="1"/>
    <x v="2"/>
    <x v="1"/>
  </r>
  <r>
    <x v="890"/>
    <x v="523"/>
    <s v="51738-61457-RS"/>
    <s v="E-M-2.5"/>
    <n v="2"/>
    <x v="852"/>
    <s v="mmatiasekps@ucoz.ru"/>
    <x v="0"/>
    <s v="Exc"/>
    <s v="M"/>
    <n v="2.5"/>
    <n v="31.624999999999996"/>
    <n v="63.249999999999993"/>
    <x v="1"/>
    <x v="0"/>
    <x v="0"/>
  </r>
  <r>
    <x v="891"/>
    <x v="656"/>
    <s v="86757-52367-ON"/>
    <s v="E-L-0.2"/>
    <n v="2"/>
    <x v="853"/>
    <s v="jcamillopt@shinystat.com"/>
    <x v="0"/>
    <s v="Exc"/>
    <s v="L"/>
    <n v="0.2"/>
    <n v="4.4550000000000001"/>
    <n v="8.91"/>
    <x v="1"/>
    <x v="1"/>
    <x v="0"/>
  </r>
  <r>
    <x v="892"/>
    <x v="657"/>
    <s v="28158-93383-CK"/>
    <s v="E-D-1"/>
    <n v="1"/>
    <x v="854"/>
    <s v="kphilbrickpu@cdc.gov"/>
    <x v="0"/>
    <s v="Exc"/>
    <s v="D"/>
    <n v="1"/>
    <n v="12.15"/>
    <n v="12.15"/>
    <x v="1"/>
    <x v="2"/>
    <x v="0"/>
  </r>
  <r>
    <x v="893"/>
    <x v="658"/>
    <s v="44799-09711-XW"/>
    <s v="A-D-0.5"/>
    <n v="4"/>
    <x v="855"/>
    <s v=""/>
    <x v="0"/>
    <s v="Ara"/>
    <s v="D"/>
    <n v="0.5"/>
    <n v="5.97"/>
    <n v="23.88"/>
    <x v="2"/>
    <x v="2"/>
    <x v="0"/>
  </r>
  <r>
    <x v="894"/>
    <x v="659"/>
    <s v="53667-91553-LT"/>
    <s v="E-M-1"/>
    <n v="4"/>
    <x v="856"/>
    <s v="bsillispw@istockphoto.com"/>
    <x v="0"/>
    <s v="Exc"/>
    <s v="M"/>
    <n v="1"/>
    <n v="13.75"/>
    <n v="55"/>
    <x v="1"/>
    <x v="0"/>
    <x v="1"/>
  </r>
  <r>
    <x v="895"/>
    <x v="558"/>
    <s v="86579-92122-OC"/>
    <s v="R-D-1"/>
    <n v="3"/>
    <x v="857"/>
    <s v=""/>
    <x v="0"/>
    <s v="Rob"/>
    <s v="D"/>
    <n v="1"/>
    <n v="8.9499999999999993"/>
    <n v="26.849999999999998"/>
    <x v="0"/>
    <x v="2"/>
    <x v="0"/>
  </r>
  <r>
    <x v="896"/>
    <x v="660"/>
    <s v="01474-63436-TP"/>
    <s v="R-M-2.5"/>
    <n v="5"/>
    <x v="858"/>
    <s v="rcuttspy@techcrunch.com"/>
    <x v="0"/>
    <s v="Rob"/>
    <s v="M"/>
    <n v="2.5"/>
    <n v="22.884999999999998"/>
    <n v="114.42499999999998"/>
    <x v="0"/>
    <x v="0"/>
    <x v="1"/>
  </r>
  <r>
    <x v="897"/>
    <x v="661"/>
    <s v="90533-82440-EE"/>
    <s v="A-M-2.5"/>
    <n v="6"/>
    <x v="859"/>
    <s v="mdelvespz@nature.com"/>
    <x v="0"/>
    <s v="Ara"/>
    <s v="M"/>
    <n v="2.5"/>
    <n v="25.874999999999996"/>
    <n v="155.24999999999997"/>
    <x v="2"/>
    <x v="0"/>
    <x v="0"/>
  </r>
  <r>
    <x v="898"/>
    <x v="662"/>
    <s v="48553-69225-VX"/>
    <s v="L-D-0.5"/>
    <n v="3"/>
    <x v="860"/>
    <s v="dgrittonq0@nydailynews.com"/>
    <x v="0"/>
    <s v="Lib"/>
    <s v="D"/>
    <n v="0.5"/>
    <n v="7.77"/>
    <n v="23.31"/>
    <x v="3"/>
    <x v="2"/>
    <x v="0"/>
  </r>
  <r>
    <x v="898"/>
    <x v="662"/>
    <s v="48553-69225-VX"/>
    <s v="R-M-2.5"/>
    <n v="4"/>
    <x v="860"/>
    <s v="dgrittonq0@nydailynews.com"/>
    <x v="0"/>
    <s v="Rob"/>
    <s v="M"/>
    <n v="2.5"/>
    <n v="22.884999999999998"/>
    <n v="91.539999999999992"/>
    <x v="0"/>
    <x v="0"/>
    <x v="0"/>
  </r>
  <r>
    <x v="899"/>
    <x v="184"/>
    <s v="52374-27313-IV"/>
    <s v="E-L-1"/>
    <n v="5"/>
    <x v="861"/>
    <s v="dgutq2@umich.edu"/>
    <x v="0"/>
    <s v="Exc"/>
    <s v="L"/>
    <n v="1"/>
    <n v="14.85"/>
    <n v="74.25"/>
    <x v="1"/>
    <x v="1"/>
    <x v="0"/>
  </r>
  <r>
    <x v="900"/>
    <x v="663"/>
    <s v="14264-41252-SL"/>
    <s v="L-L-0.2"/>
    <n v="6"/>
    <x v="862"/>
    <s v="wpummeryq3@topsy.com"/>
    <x v="0"/>
    <s v="Lib"/>
    <s v="L"/>
    <n v="0.2"/>
    <n v="4.7549999999999999"/>
    <n v="28.53"/>
    <x v="3"/>
    <x v="1"/>
    <x v="1"/>
  </r>
  <r>
    <x v="901"/>
    <x v="334"/>
    <s v="35367-50483-AR"/>
    <s v="R-L-0.5"/>
    <n v="2"/>
    <x v="863"/>
    <s v="gsiudaq4@nytimes.com"/>
    <x v="0"/>
    <s v="Rob"/>
    <s v="L"/>
    <n v="0.5"/>
    <n v="7.169999999999999"/>
    <n v="14.339999999999998"/>
    <x v="0"/>
    <x v="1"/>
    <x v="0"/>
  </r>
  <r>
    <x v="902"/>
    <x v="664"/>
    <s v="69443-77665-QW"/>
    <s v="A-L-0.5"/>
    <n v="2"/>
    <x v="864"/>
    <s v="hcrowneq5@wufoo.com"/>
    <x v="1"/>
    <s v="Ara"/>
    <s v="L"/>
    <n v="0.5"/>
    <n v="7.77"/>
    <n v="15.54"/>
    <x v="2"/>
    <x v="1"/>
    <x v="0"/>
  </r>
  <r>
    <x v="903"/>
    <x v="24"/>
    <s v="63411-51758-QC"/>
    <s v="R-L-1"/>
    <n v="3"/>
    <x v="865"/>
    <s v="vpawseyq6@tiny.cc"/>
    <x v="0"/>
    <s v="Rob"/>
    <s v="L"/>
    <n v="1"/>
    <n v="11.95"/>
    <n v="35.849999999999994"/>
    <x v="0"/>
    <x v="1"/>
    <x v="1"/>
  </r>
  <r>
    <x v="904"/>
    <x v="12"/>
    <s v="68605-21835-UF"/>
    <s v="A-L-0.5"/>
    <n v="6"/>
    <x v="866"/>
    <s v="awaterhouseq7@istockphoto.com"/>
    <x v="0"/>
    <s v="Ara"/>
    <s v="L"/>
    <n v="0.5"/>
    <n v="7.77"/>
    <n v="46.62"/>
    <x v="2"/>
    <x v="1"/>
    <x v="1"/>
  </r>
  <r>
    <x v="905"/>
    <x v="105"/>
    <s v="34786-30419-XY"/>
    <s v="R-L-0.5"/>
    <n v="5"/>
    <x v="867"/>
    <s v="fhaughianq8@1688.com"/>
    <x v="0"/>
    <s v="Rob"/>
    <s v="L"/>
    <n v="0.5"/>
    <n v="7.169999999999999"/>
    <n v="35.849999999999994"/>
    <x v="0"/>
    <x v="1"/>
    <x v="1"/>
  </r>
  <r>
    <x v="906"/>
    <x v="665"/>
    <s v="15456-29250-RU"/>
    <s v="L-D-2.5"/>
    <n v="4"/>
    <x v="868"/>
    <s v=""/>
    <x v="0"/>
    <s v="Lib"/>
    <s v="D"/>
    <n v="2.5"/>
    <n v="29.784999999999997"/>
    <n v="119.13999999999999"/>
    <x v="3"/>
    <x v="2"/>
    <x v="1"/>
  </r>
  <r>
    <x v="907"/>
    <x v="44"/>
    <s v="00886-35803-FG"/>
    <s v="L-D-0.5"/>
    <n v="3"/>
    <x v="869"/>
    <s v=""/>
    <x v="0"/>
    <s v="Lib"/>
    <s v="D"/>
    <n v="0.5"/>
    <n v="7.77"/>
    <n v="23.31"/>
    <x v="3"/>
    <x v="2"/>
    <x v="1"/>
  </r>
  <r>
    <x v="908"/>
    <x v="171"/>
    <s v="31599-82152-AD"/>
    <s v="A-M-1"/>
    <n v="1"/>
    <x v="870"/>
    <s v="rfaltinqb@topsy.com"/>
    <x v="1"/>
    <s v="Ara"/>
    <s v="M"/>
    <n v="1"/>
    <n v="11.25"/>
    <n v="11.25"/>
    <x v="2"/>
    <x v="0"/>
    <x v="1"/>
  </r>
  <r>
    <x v="909"/>
    <x v="328"/>
    <s v="76209-39601-ZR"/>
    <s v="E-D-2.5"/>
    <n v="3"/>
    <x v="871"/>
    <s v="gcheekeqc@sitemeter.com"/>
    <x v="2"/>
    <s v="Exc"/>
    <s v="D"/>
    <n v="2.5"/>
    <n v="27.945"/>
    <n v="83.835000000000008"/>
    <x v="1"/>
    <x v="2"/>
    <x v="0"/>
  </r>
  <r>
    <x v="910"/>
    <x v="648"/>
    <s v="15064-65241-HB"/>
    <s v="R-L-2.5"/>
    <n v="4"/>
    <x v="872"/>
    <s v="grattqd@phpbb.com"/>
    <x v="1"/>
    <s v="Rob"/>
    <s v="L"/>
    <n v="2.5"/>
    <n v="27.484999999999996"/>
    <n v="109.93999999999998"/>
    <x v="0"/>
    <x v="1"/>
    <x v="1"/>
  </r>
  <r>
    <x v="911"/>
    <x v="666"/>
    <s v="69215-90789-DL"/>
    <s v="R-L-0.2"/>
    <n v="4"/>
    <x v="873"/>
    <s v=""/>
    <x v="0"/>
    <s v="Rob"/>
    <s v="L"/>
    <n v="0.2"/>
    <n v="3.5849999999999995"/>
    <n v="14.339999999999998"/>
    <x v="0"/>
    <x v="1"/>
    <x v="0"/>
  </r>
  <r>
    <x v="912"/>
    <x v="577"/>
    <s v="04317-46176-TB"/>
    <s v="R-L-0.2"/>
    <n v="6"/>
    <x v="874"/>
    <s v="ieberleinqf@hc360.com"/>
    <x v="0"/>
    <s v="Rob"/>
    <s v="L"/>
    <n v="0.2"/>
    <n v="3.5849999999999995"/>
    <n v="21.509999999999998"/>
    <x v="0"/>
    <x v="1"/>
    <x v="1"/>
  </r>
  <r>
    <x v="913"/>
    <x v="114"/>
    <s v="04713-57765-KR"/>
    <s v="A-M-1"/>
    <n v="2"/>
    <x v="875"/>
    <s v="jdrengqg@uiuc.edu"/>
    <x v="1"/>
    <s v="Ara"/>
    <s v="M"/>
    <n v="1"/>
    <n v="11.25"/>
    <n v="22.5"/>
    <x v="2"/>
    <x v="0"/>
    <x v="0"/>
  </r>
  <r>
    <x v="914"/>
    <x v="4"/>
    <s v="86579-92122-OC"/>
    <s v="A-L-0.2"/>
    <n v="1"/>
    <x v="857"/>
    <s v=""/>
    <x v="0"/>
    <s v="Ara"/>
    <s v="L"/>
    <n v="0.2"/>
    <n v="3.8849999999999998"/>
    <n v="3.8849999999999998"/>
    <x v="2"/>
    <x v="1"/>
    <x v="0"/>
  </r>
  <r>
    <x v="915"/>
    <x v="667"/>
    <s v="86579-92122-OC"/>
    <s v="E-D-2.5"/>
    <n v="1"/>
    <x v="857"/>
    <s v=""/>
    <x v="0"/>
    <s v="Exc"/>
    <s v="D"/>
    <n v="2.5"/>
    <n v="27.945"/>
    <n v="27.945"/>
    <x v="1"/>
    <x v="2"/>
    <x v="0"/>
  </r>
  <r>
    <x v="916"/>
    <x v="110"/>
    <s v="86579-92122-OC"/>
    <s v="E-L-2.5"/>
    <n v="5"/>
    <x v="857"/>
    <s v=""/>
    <x v="0"/>
    <s v="Exc"/>
    <s v="L"/>
    <n v="2.5"/>
    <n v="34.154999999999994"/>
    <n v="170.77499999999998"/>
    <x v="1"/>
    <x v="1"/>
    <x v="0"/>
  </r>
  <r>
    <x v="916"/>
    <x v="110"/>
    <s v="86579-92122-OC"/>
    <s v="R-L-2.5"/>
    <n v="2"/>
    <x v="857"/>
    <s v=""/>
    <x v="0"/>
    <s v="Rob"/>
    <s v="L"/>
    <n v="2.5"/>
    <n v="27.484999999999996"/>
    <n v="54.969999999999992"/>
    <x v="0"/>
    <x v="1"/>
    <x v="0"/>
  </r>
  <r>
    <x v="916"/>
    <x v="110"/>
    <s v="86579-92122-OC"/>
    <s v="E-L-1"/>
    <n v="1"/>
    <x v="857"/>
    <s v=""/>
    <x v="0"/>
    <s v="Exc"/>
    <s v="L"/>
    <n v="1"/>
    <n v="14.85"/>
    <n v="14.85"/>
    <x v="1"/>
    <x v="1"/>
    <x v="0"/>
  </r>
  <r>
    <x v="916"/>
    <x v="110"/>
    <s v="86579-92122-OC"/>
    <s v="A-L-0.2"/>
    <n v="2"/>
    <x v="857"/>
    <s v=""/>
    <x v="0"/>
    <s v="Ara"/>
    <s v="L"/>
    <n v="0.2"/>
    <n v="3.8849999999999998"/>
    <n v="7.77"/>
    <x v="2"/>
    <x v="1"/>
    <x v="0"/>
  </r>
  <r>
    <x v="917"/>
    <x v="668"/>
    <s v="40959-32642-DN"/>
    <s v="L-L-0.2"/>
    <n v="5"/>
    <x v="876"/>
    <s v="rstrathernqn@devhub.com"/>
    <x v="0"/>
    <s v="Lib"/>
    <s v="L"/>
    <n v="0.2"/>
    <n v="4.7549999999999999"/>
    <n v="23.774999999999999"/>
    <x v="3"/>
    <x v="1"/>
    <x v="0"/>
  </r>
  <r>
    <x v="918"/>
    <x v="422"/>
    <s v="77746-08153-PM"/>
    <s v="L-L-1"/>
    <n v="5"/>
    <x v="877"/>
    <s v="cmiguelqo@exblog.jp"/>
    <x v="0"/>
    <s v="Lib"/>
    <s v="L"/>
    <n v="1"/>
    <n v="15.85"/>
    <n v="79.25"/>
    <x v="3"/>
    <x v="1"/>
    <x v="0"/>
  </r>
  <r>
    <x v="919"/>
    <x v="669"/>
    <s v="49667-96708-JL"/>
    <s v="A-D-2.5"/>
    <n v="2"/>
    <x v="878"/>
    <s v=""/>
    <x v="0"/>
    <s v="Ara"/>
    <s v="D"/>
    <n v="2.5"/>
    <n v="22.884999999999998"/>
    <n v="45.769999999999996"/>
    <x v="2"/>
    <x v="2"/>
    <x v="0"/>
  </r>
  <r>
    <x v="920"/>
    <x v="670"/>
    <s v="24155-79322-EQ"/>
    <s v="R-D-1"/>
    <n v="1"/>
    <x v="879"/>
    <s v="mrocksqq@exblog.jp"/>
    <x v="1"/>
    <s v="Rob"/>
    <s v="D"/>
    <n v="1"/>
    <n v="8.9499999999999993"/>
    <n v="8.9499999999999993"/>
    <x v="0"/>
    <x v="2"/>
    <x v="0"/>
  </r>
  <r>
    <x v="921"/>
    <x v="341"/>
    <s v="95342-88311-SF"/>
    <s v="R-M-0.5"/>
    <n v="4"/>
    <x v="880"/>
    <s v="yburrellsqr@vinaora.com"/>
    <x v="0"/>
    <s v="Rob"/>
    <s v="M"/>
    <n v="0.5"/>
    <n v="5.97"/>
    <n v="23.88"/>
    <x v="0"/>
    <x v="0"/>
    <x v="0"/>
  </r>
  <r>
    <x v="922"/>
    <x v="671"/>
    <s v="69374-08133-RI"/>
    <s v="E-L-0.2"/>
    <n v="5"/>
    <x v="881"/>
    <s v="cgoodrumqs@goodreads.com"/>
    <x v="0"/>
    <s v="Exc"/>
    <s v="L"/>
    <n v="0.2"/>
    <n v="4.4550000000000001"/>
    <n v="22.274999999999999"/>
    <x v="1"/>
    <x v="1"/>
    <x v="1"/>
  </r>
  <r>
    <x v="923"/>
    <x v="672"/>
    <s v="83844-95908-RX"/>
    <s v="R-M-1"/>
    <n v="3"/>
    <x v="882"/>
    <s v="jjefferysqt@blog.com"/>
    <x v="0"/>
    <s v="Rob"/>
    <s v="M"/>
    <n v="1"/>
    <n v="9.9499999999999993"/>
    <n v="29.849999999999998"/>
    <x v="0"/>
    <x v="0"/>
    <x v="0"/>
  </r>
  <r>
    <x v="924"/>
    <x v="673"/>
    <s v="09667-09231-YM"/>
    <s v="E-L-0.5"/>
    <n v="6"/>
    <x v="883"/>
    <s v="bwardellqu@adobe.com"/>
    <x v="0"/>
    <s v="Exc"/>
    <s v="L"/>
    <n v="0.5"/>
    <n v="8.91"/>
    <n v="53.46"/>
    <x v="1"/>
    <x v="1"/>
    <x v="0"/>
  </r>
  <r>
    <x v="925"/>
    <x v="674"/>
    <s v="55427-08059-DF"/>
    <s v="R-D-0.2"/>
    <n v="1"/>
    <x v="884"/>
    <s v="zwalisiakqv@ucsd.edu"/>
    <x v="1"/>
    <s v="Rob"/>
    <s v="D"/>
    <n v="0.2"/>
    <n v="2.6849999999999996"/>
    <n v="2.6849999999999996"/>
    <x v="0"/>
    <x v="2"/>
    <x v="0"/>
  </r>
  <r>
    <x v="926"/>
    <x v="675"/>
    <s v="06624-54037-BQ"/>
    <s v="R-M-0.2"/>
    <n v="2"/>
    <x v="885"/>
    <s v="wleopoldqw@blogspot.com"/>
    <x v="0"/>
    <s v="Rob"/>
    <s v="M"/>
    <n v="0.2"/>
    <n v="2.9849999999999999"/>
    <n v="5.97"/>
    <x v="0"/>
    <x v="0"/>
    <x v="1"/>
  </r>
  <r>
    <x v="927"/>
    <x v="539"/>
    <s v="48544-90737-AZ"/>
    <s v="L-D-1"/>
    <n v="1"/>
    <x v="886"/>
    <s v="cshaldersqx@cisco.com"/>
    <x v="0"/>
    <s v="Lib"/>
    <s v="D"/>
    <n v="1"/>
    <n v="12.95"/>
    <n v="12.95"/>
    <x v="3"/>
    <x v="2"/>
    <x v="0"/>
  </r>
  <r>
    <x v="928"/>
    <x v="676"/>
    <s v="79463-01597-FQ"/>
    <s v="E-M-0.5"/>
    <n v="1"/>
    <x v="887"/>
    <s v=""/>
    <x v="0"/>
    <s v="Exc"/>
    <s v="M"/>
    <n v="0.5"/>
    <n v="8.25"/>
    <n v="8.25"/>
    <x v="1"/>
    <x v="0"/>
    <x v="1"/>
  </r>
  <r>
    <x v="929"/>
    <x v="677"/>
    <s v="27702-50024-XC"/>
    <s v="A-L-2.5"/>
    <n v="5"/>
    <x v="888"/>
    <s v="nfurberqz@jugem.jp"/>
    <x v="0"/>
    <s v="Ara"/>
    <s v="L"/>
    <n v="2.5"/>
    <n v="29.784999999999997"/>
    <n v="148.92499999999998"/>
    <x v="2"/>
    <x v="1"/>
    <x v="1"/>
  </r>
  <r>
    <x v="930"/>
    <x v="629"/>
    <s v="57360-46846-NS"/>
    <s v="A-L-2.5"/>
    <n v="3"/>
    <x v="889"/>
    <s v=""/>
    <x v="1"/>
    <s v="Ara"/>
    <s v="L"/>
    <n v="2.5"/>
    <n v="29.784999999999997"/>
    <n v="89.35499999999999"/>
    <x v="2"/>
    <x v="1"/>
    <x v="0"/>
  </r>
  <r>
    <x v="931"/>
    <x v="662"/>
    <s v="84045-66771-SL"/>
    <s v="L-M-1"/>
    <n v="6"/>
    <x v="890"/>
    <s v="ckeaver1@ucoz.com"/>
    <x v="0"/>
    <s v="Lib"/>
    <s v="M"/>
    <n v="1"/>
    <n v="14.55"/>
    <n v="87.300000000000011"/>
    <x v="3"/>
    <x v="0"/>
    <x v="1"/>
  </r>
  <r>
    <x v="932"/>
    <x v="102"/>
    <s v="46885-00260-TL"/>
    <s v="R-D-0.5"/>
    <n v="1"/>
    <x v="891"/>
    <s v="sroseboroughr2@virginia.edu"/>
    <x v="0"/>
    <s v="Rob"/>
    <s v="D"/>
    <n v="0.5"/>
    <n v="5.3699999999999992"/>
    <n v="5.3699999999999992"/>
    <x v="0"/>
    <x v="2"/>
    <x v="0"/>
  </r>
  <r>
    <x v="933"/>
    <x v="678"/>
    <s v="96446-62142-EN"/>
    <s v="A-D-0.2"/>
    <n v="3"/>
    <x v="892"/>
    <s v="ckingwellr3@squarespace.com"/>
    <x v="1"/>
    <s v="Ara"/>
    <s v="D"/>
    <n v="0.2"/>
    <n v="2.9849999999999999"/>
    <n v="8.9550000000000001"/>
    <x v="2"/>
    <x v="2"/>
    <x v="0"/>
  </r>
  <r>
    <x v="934"/>
    <x v="679"/>
    <s v="07756-71018-GU"/>
    <s v="R-L-2.5"/>
    <n v="5"/>
    <x v="893"/>
    <s v="kcantor4@gmpg.org"/>
    <x v="0"/>
    <s v="Rob"/>
    <s v="L"/>
    <n v="2.5"/>
    <n v="27.484999999999996"/>
    <n v="137.42499999999998"/>
    <x v="0"/>
    <x v="1"/>
    <x v="0"/>
  </r>
  <r>
    <x v="935"/>
    <x v="112"/>
    <s v="92048-47813-QB"/>
    <s v="R-L-1"/>
    <n v="5"/>
    <x v="894"/>
    <s v="mblakemorer5@nsw.gov.au"/>
    <x v="0"/>
    <s v="Rob"/>
    <s v="L"/>
    <n v="1"/>
    <n v="11.95"/>
    <n v="59.75"/>
    <x v="0"/>
    <x v="1"/>
    <x v="1"/>
  </r>
  <r>
    <x v="936"/>
    <x v="55"/>
    <s v="84045-66771-SL"/>
    <s v="A-L-0.5"/>
    <n v="3"/>
    <x v="890"/>
    <s v="ckeaver1@ucoz.com"/>
    <x v="0"/>
    <s v="Ara"/>
    <s v="L"/>
    <n v="0.5"/>
    <n v="7.77"/>
    <n v="23.31"/>
    <x v="2"/>
    <x v="1"/>
    <x v="1"/>
  </r>
  <r>
    <x v="937"/>
    <x v="680"/>
    <s v="28699-16256-XV"/>
    <s v="R-D-0.5"/>
    <n v="2"/>
    <x v="895"/>
    <s v=""/>
    <x v="0"/>
    <s v="Rob"/>
    <s v="D"/>
    <n v="0.5"/>
    <n v="5.3699999999999992"/>
    <n v="10.739999999999998"/>
    <x v="0"/>
    <x v="2"/>
    <x v="1"/>
  </r>
  <r>
    <x v="938"/>
    <x v="94"/>
    <s v="98476-63654-CG"/>
    <s v="E-D-2.5"/>
    <n v="6"/>
    <x v="896"/>
    <s v=""/>
    <x v="0"/>
    <s v="Exc"/>
    <s v="D"/>
    <n v="2.5"/>
    <n v="27.945"/>
    <n v="167.67000000000002"/>
    <x v="1"/>
    <x v="2"/>
    <x v="0"/>
  </r>
  <r>
    <x v="939"/>
    <x v="160"/>
    <s v="55409-07759-YG"/>
    <s v="E-D-0.2"/>
    <n v="6"/>
    <x v="897"/>
    <s v="cbernardotr9@wix.com"/>
    <x v="0"/>
    <s v="Exc"/>
    <s v="D"/>
    <n v="0.2"/>
    <n v="3.645"/>
    <n v="21.87"/>
    <x v="1"/>
    <x v="2"/>
    <x v="0"/>
  </r>
  <r>
    <x v="940"/>
    <x v="681"/>
    <s v="06136-65250-PG"/>
    <s v="R-L-1"/>
    <n v="2"/>
    <x v="898"/>
    <s v="kkemeryra@t.co"/>
    <x v="0"/>
    <s v="Rob"/>
    <s v="L"/>
    <n v="1"/>
    <n v="11.95"/>
    <n v="23.9"/>
    <x v="0"/>
    <x v="1"/>
    <x v="0"/>
  </r>
  <r>
    <x v="941"/>
    <x v="502"/>
    <s v="08405-33165-BS"/>
    <s v="A-M-0.2"/>
    <n v="2"/>
    <x v="899"/>
    <s v="fparlotrb@forbes.com"/>
    <x v="0"/>
    <s v="Ara"/>
    <s v="M"/>
    <n v="0.2"/>
    <n v="3.375"/>
    <n v="6.75"/>
    <x v="2"/>
    <x v="0"/>
    <x v="0"/>
  </r>
  <r>
    <x v="942"/>
    <x v="682"/>
    <s v="66070-30559-WI"/>
    <s v="E-M-2.5"/>
    <n v="1"/>
    <x v="900"/>
    <s v="rcheakrc@tripadvisor.com"/>
    <x v="1"/>
    <s v="Exc"/>
    <s v="M"/>
    <n v="2.5"/>
    <n v="31.624999999999996"/>
    <n v="31.624999999999996"/>
    <x v="1"/>
    <x v="0"/>
    <x v="0"/>
  </r>
  <r>
    <x v="943"/>
    <x v="683"/>
    <s v="01282-28364-RZ"/>
    <s v="R-L-1"/>
    <n v="4"/>
    <x v="901"/>
    <s v="kogeneayrd@utexas.edu"/>
    <x v="0"/>
    <s v="Rob"/>
    <s v="L"/>
    <n v="1"/>
    <n v="11.95"/>
    <n v="47.8"/>
    <x v="0"/>
    <x v="1"/>
    <x v="1"/>
  </r>
  <r>
    <x v="944"/>
    <x v="594"/>
    <s v="51277-93873-RP"/>
    <s v="L-M-2.5"/>
    <n v="1"/>
    <x v="902"/>
    <s v="cayrere@symantec.com"/>
    <x v="0"/>
    <s v="Lib"/>
    <s v="M"/>
    <n v="2.5"/>
    <n v="33.464999999999996"/>
    <n v="33.464999999999996"/>
    <x v="3"/>
    <x v="0"/>
    <x v="1"/>
  </r>
  <r>
    <x v="945"/>
    <x v="389"/>
    <s v="84405-83364-DG"/>
    <s v="A-D-0.5"/>
    <n v="5"/>
    <x v="903"/>
    <s v="lkynetonrf@macromedia.com"/>
    <x v="2"/>
    <s v="Ara"/>
    <s v="D"/>
    <n v="0.5"/>
    <n v="5.97"/>
    <n v="29.849999999999998"/>
    <x v="2"/>
    <x v="2"/>
    <x v="0"/>
  </r>
  <r>
    <x v="946"/>
    <x v="583"/>
    <s v="83731-53280-YC"/>
    <s v="R-M-1"/>
    <n v="3"/>
    <x v="904"/>
    <s v=""/>
    <x v="2"/>
    <s v="Rob"/>
    <s v="M"/>
    <n v="1"/>
    <n v="9.9499999999999993"/>
    <n v="29.849999999999998"/>
    <x v="0"/>
    <x v="0"/>
    <x v="0"/>
  </r>
  <r>
    <x v="947"/>
    <x v="647"/>
    <s v="03917-13632-KC"/>
    <s v="A-M-2.5"/>
    <n v="6"/>
    <x v="905"/>
    <s v=""/>
    <x v="0"/>
    <s v="Ara"/>
    <s v="M"/>
    <n v="2.5"/>
    <n v="25.874999999999996"/>
    <n v="155.24999999999997"/>
    <x v="2"/>
    <x v="0"/>
    <x v="0"/>
  </r>
  <r>
    <x v="948"/>
    <x v="366"/>
    <s v="62494-09113-RP"/>
    <s v="E-D-0.2"/>
    <n v="5"/>
    <x v="906"/>
    <s v=""/>
    <x v="0"/>
    <s v="Exc"/>
    <s v="D"/>
    <n v="0.2"/>
    <n v="3.645"/>
    <n v="18.225000000000001"/>
    <x v="1"/>
    <x v="2"/>
    <x v="1"/>
  </r>
  <r>
    <x v="948"/>
    <x v="366"/>
    <s v="62494-09113-RP"/>
    <s v="L-D-0.5"/>
    <n v="2"/>
    <x v="906"/>
    <s v=""/>
    <x v="0"/>
    <s v="Lib"/>
    <s v="D"/>
    <n v="0.5"/>
    <n v="7.77"/>
    <n v="15.54"/>
    <x v="3"/>
    <x v="2"/>
    <x v="1"/>
  </r>
  <r>
    <x v="949"/>
    <x v="684"/>
    <s v="70567-65133-CN"/>
    <s v="L-L-2.5"/>
    <n v="3"/>
    <x v="907"/>
    <s v=""/>
    <x v="1"/>
    <s v="Lib"/>
    <s v="L"/>
    <n v="2.5"/>
    <n v="36.454999999999998"/>
    <n v="109.36499999999999"/>
    <x v="3"/>
    <x v="1"/>
    <x v="1"/>
  </r>
  <r>
    <x v="950"/>
    <x v="506"/>
    <s v="77869-81373-AY"/>
    <s v="A-L-1"/>
    <n v="6"/>
    <x v="908"/>
    <s v=""/>
    <x v="0"/>
    <s v="Ara"/>
    <s v="L"/>
    <n v="1"/>
    <n v="12.95"/>
    <n v="77.699999999999989"/>
    <x v="2"/>
    <x v="1"/>
    <x v="1"/>
  </r>
  <r>
    <x v="951"/>
    <x v="685"/>
    <s v="38536-98293-JZ"/>
    <s v="A-D-0.2"/>
    <n v="3"/>
    <x v="909"/>
    <s v=""/>
    <x v="1"/>
    <s v="Ara"/>
    <s v="D"/>
    <n v="0.2"/>
    <n v="2.9849999999999999"/>
    <n v="8.9550000000000001"/>
    <x v="2"/>
    <x v="2"/>
    <x v="1"/>
  </r>
  <r>
    <x v="952"/>
    <x v="191"/>
    <s v="43014-53743-XK"/>
    <s v="R-L-2.5"/>
    <n v="1"/>
    <x v="910"/>
    <s v="jtewelsonrn@samsung.com"/>
    <x v="0"/>
    <s v="Rob"/>
    <s v="L"/>
    <n v="2.5"/>
    <n v="27.484999999999996"/>
    <n v="27.484999999999996"/>
    <x v="0"/>
    <x v="1"/>
    <x v="1"/>
  </r>
  <r>
    <x v="953"/>
    <x v="686"/>
    <s v="62494-09113-RP"/>
    <s v="R-M-0.5"/>
    <n v="5"/>
    <x v="906"/>
    <s v=""/>
    <x v="0"/>
    <s v="Rob"/>
    <s v="M"/>
    <n v="0.5"/>
    <n v="5.97"/>
    <n v="29.849999999999998"/>
    <x v="0"/>
    <x v="0"/>
    <x v="1"/>
  </r>
  <r>
    <x v="954"/>
    <x v="687"/>
    <s v="62494-09113-RP"/>
    <s v="A-M-0.5"/>
    <n v="4"/>
    <x v="906"/>
    <s v=""/>
    <x v="0"/>
    <s v="Ara"/>
    <s v="M"/>
    <n v="0.5"/>
    <n v="6.75"/>
    <n v="27"/>
    <x v="2"/>
    <x v="0"/>
    <x v="1"/>
  </r>
  <r>
    <x v="955"/>
    <x v="629"/>
    <s v="64965-78386-MY"/>
    <s v="A-D-1"/>
    <n v="1"/>
    <x v="911"/>
    <s v="njennyrq@bigcartel.com"/>
    <x v="0"/>
    <s v="Ara"/>
    <s v="D"/>
    <n v="1"/>
    <n v="9.9499999999999993"/>
    <n v="9.9499999999999993"/>
    <x v="2"/>
    <x v="2"/>
    <x v="1"/>
  </r>
  <r>
    <x v="956"/>
    <x v="688"/>
    <s v="77131-58092-GE"/>
    <s v="E-M-0.2"/>
    <n v="3"/>
    <x v="912"/>
    <s v=""/>
    <x v="2"/>
    <s v="Exc"/>
    <s v="M"/>
    <n v="0.2"/>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339AE-5AE8-45AA-B741-DA958BD2AECF}"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N1:N2" firstHeaderRow="1" firstDataRow="1" firstDataCol="0"/>
  <pivotFields count="18">
    <pivotField dataField="1"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pivotField numFmtId="166" showAll="0"/>
    <pivotField numFmtId="166"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numFmtId="41"/>
  </dataFields>
  <formats count="1">
    <format dxfId="6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D2A6E-6663-406A-84EB-E7C37AD697B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M1:M2" firstHeaderRow="1" firstDataRow="1" firstDataCol="0"/>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pivotField numFmtId="166" showAll="0"/>
    <pivotField dataField="1" numFmtId="166" showAll="0"/>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2" baseField="0" baseItem="0" numFmtId="167"/>
  </dataFields>
  <formats count="1">
    <format dxfId="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192DC-A2B1-485E-A586-463DA2A9D0C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53:B57"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6" showAll="0"/>
    <pivotField dataField="1" numFmtId="166"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1">
    <field x="17"/>
  </rowFields>
  <rowItems count="4">
    <i>
      <x v="1"/>
    </i>
    <i>
      <x v="2"/>
    </i>
    <i>
      <x v="3"/>
    </i>
    <i>
      <x v="4"/>
    </i>
  </rowItems>
  <colItems count="1">
    <i/>
  </colItems>
  <dataFields count="1">
    <dataField name="Sum of Sales" fld="12" baseField="0" baseItem="0" numFmtId="167"/>
  </dataFields>
  <formats count="1">
    <format dxfId="6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3D56A0-2936-454F-BBFF-A2993A99AA6E}"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6:B41"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6" showAll="0"/>
    <pivotField dataField="1" numFmtId="166"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255"/>
    </i>
    <i>
      <x v="646"/>
    </i>
    <i>
      <x v="831"/>
    </i>
    <i>
      <x v="125"/>
    </i>
    <i>
      <x v="28"/>
    </i>
  </rowItems>
  <colItems count="1">
    <i/>
  </colItems>
  <dataFields count="1">
    <dataField name="Sum of Sales" fld="12" baseField="0" baseItem="0" numFmtId="167"/>
  </dataFields>
  <formats count="1">
    <format dxfId="6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00A037-8C2D-4B23-9E0E-B68C6140FB82}"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0:B23"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6" showAll="0"/>
    <pivotField dataField="1" numFmtId="166"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v="1"/>
    </i>
    <i>
      <x/>
    </i>
    <i>
      <x v="2"/>
    </i>
  </rowItems>
  <colItems count="1">
    <i/>
  </colItems>
  <dataFields count="1">
    <dataField name="Sum of Sales" fld="12" baseField="0" baseItem="0" numFmtId="167"/>
  </dataFields>
  <formats count="1">
    <format dxfId="6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DE3FF0-B03E-4721-9411-47DF7C18E7B8}"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5"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pivotField numFmtId="166" showAll="0"/>
    <pivotField dataField="1" numFmtId="166"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4">
    <i>
      <x v="3"/>
    </i>
    <i>
      <x/>
    </i>
    <i>
      <x v="2"/>
    </i>
    <i>
      <x v="1"/>
    </i>
  </rowItems>
  <colItems count="1">
    <i/>
  </colItems>
  <dataFields count="1">
    <dataField name="Sum of Sales" fld="12" baseField="0" baseItem="0" numFmtId="167"/>
  </dataFields>
  <formats count="1">
    <format dxfId="6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ED4E630-9C32-4EEE-93F7-518256E150F3}" sourceName="Years (Order Date)">
  <pivotTables>
    <pivotTable tabId="19" name="PivotTable3"/>
    <pivotTable tabId="19" name="PivotTable1"/>
    <pivotTable tabId="19" name="PivotTable2"/>
    <pivotTable tabId="19" name="PivotTable4"/>
    <pivotTable tabId="19" name="PivotTable5"/>
    <pivotTable tabId="19" name="PivotTable6"/>
  </pivotTables>
  <data>
    <tabular pivotCacheId="135865714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B19A4E5-2188-4F3A-8452-6D9CFB1BA0B2}" sourceName="Roast type name">
  <pivotTables>
    <pivotTable tabId="19" name="PivotTable2"/>
    <pivotTable tabId="19" name="PivotTable1"/>
    <pivotTable tabId="19" name="PivotTable3"/>
    <pivotTable tabId="19" name="PivotTable4"/>
    <pivotTable tabId="19" name="PivotTable5"/>
    <pivotTable tabId="19" name="PivotTable6"/>
  </pivotTables>
  <data>
    <tabular pivotCacheId="13586571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AC20368-9D6C-4A45-A375-24779198786E}" sourceName="Months (Order Date)">
  <pivotTables>
    <pivotTable tabId="19" name="PivotTable2"/>
    <pivotTable tabId="19" name="PivotTable1"/>
    <pivotTable tabId="19" name="PivotTable3"/>
    <pivotTable tabId="19" name="PivotTable4"/>
    <pivotTable tabId="19" name="PivotTable5"/>
    <pivotTable tabId="19" name="PivotTable6"/>
  </pivotTables>
  <data>
    <tabular pivotCacheId="135865714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F77A220-082C-4554-A738-3618C6ED7BEE}" sourceName="Loyalty Card">
  <pivotTables>
    <pivotTable tabId="19" name="PivotTable2"/>
    <pivotTable tabId="19" name="PivotTable1"/>
    <pivotTable tabId="19" name="PivotTable3"/>
    <pivotTable tabId="19" name="PivotTable4"/>
    <pivotTable tabId="19" name="PivotTable5"/>
    <pivotTable tabId="19" name="PivotTable6"/>
  </pivotTables>
  <data>
    <tabular pivotCacheId="13586571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A28FACD-5998-43E4-9ED7-BF1B89EAF646}" cache="Slicer_Years__Order_Date" caption="Years" columnCount="2" style="Slicer Style 1" rowHeight="360000"/>
  <slicer name="Roast type name" xr10:uid="{910F2C09-9A22-4C3A-97B3-817B454C6BE4}" cache="Slicer_Roast_type_name" caption="Roast type " style="Slicer Style 1" rowHeight="241300"/>
  <slicer name="Months (Order Date)" xr10:uid="{4C59F25C-FE35-4F93-88A1-4C0A13559A1A}" cache="Slicer_Months__Order_Date" caption="Months " columnCount="2" style="Slicer Style 1" rowHeight="306000"/>
  <slicer name="Loyalty Card" xr10:uid="{BA3586F6-24D3-4955-8C48-0F741620CDF5}"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13F5B-1184-4C10-9749-20F753ABBC02}" name="Orders_table" displayName="Orders_table" ref="A1:P1001" totalsRowShown="0" headerRowDxfId="79">
  <autoFilter ref="A1:P1001" xr:uid="{20D13F5B-1184-4C10-9749-20F753ABBC02}"/>
  <tableColumns count="16">
    <tableColumn id="1" xr3:uid="{B2AF2B5F-A503-41BA-88A5-15EE18BD5BB5}" name="Order ID" dataDxfId="78"/>
    <tableColumn id="2" xr3:uid="{7A87E283-60F2-44DE-9FE8-C43B75F94454}" name="Order Date" dataDxfId="77"/>
    <tableColumn id="3" xr3:uid="{F4E4100D-008D-4C6A-AE9E-288E38825374}" name="Customer ID" dataDxfId="76"/>
    <tableColumn id="4" xr3:uid="{0D06ED73-F9EE-4281-8006-A6B6694F20E6}" name="Product ID"/>
    <tableColumn id="5" xr3:uid="{7F798C1D-5AF3-4C15-A3C1-1669DB6D39FA}" name="Quantity" dataDxfId="75"/>
    <tableColumn id="6" xr3:uid="{4C6F535B-D48F-4CB9-9DA3-72AF61B202D6}" name="Customer Name" dataDxfId="74">
      <calculatedColumnFormula>_xlfn.XLOOKUP(C2,customers!$A$1:$A$1001,customers!$B$1:$B$1001,,0)</calculatedColumnFormula>
    </tableColumn>
    <tableColumn id="7" xr3:uid="{BE1831E1-C57B-40AD-8629-219D37DD1B0C}" name="Email" dataDxfId="73">
      <calculatedColumnFormula>IF(_xlfn.XLOOKUP(C2,customers!$A$1:$A$1001,customers!$C$1:$C$1001,,0)=0,"",_xlfn.XLOOKUP(C2,customers!$A$1:$A$1001,customers!$C$1:$C$1001,,0))</calculatedColumnFormula>
    </tableColumn>
    <tableColumn id="8" xr3:uid="{8F35863E-EDB8-4CC1-9B58-CA1E046C6676}" name="Country" dataDxfId="72">
      <calculatedColumnFormula>_xlfn.XLOOKUP(C2,customers!$A$1:$A$1001,customers!$G$1:$G$1001,,0)</calculatedColumnFormula>
    </tableColumn>
    <tableColumn id="9" xr3:uid="{51516EF9-918E-4517-BC57-FA81D108DD0E}" name="Coffee Type">
      <calculatedColumnFormula>INDEX(products!$A$1:$G$49,MATCH(orders!$D2,products!$A$1:$A$49,0),MATCH(orders!I$1,products!$A$1:$G$1,0))</calculatedColumnFormula>
    </tableColumn>
    <tableColumn id="10" xr3:uid="{2BD1F836-55F9-4FC4-B5AA-AB748E48F1AA}" name="Roast Type">
      <calculatedColumnFormula>INDEX(products!$A$1:$G$49,MATCH(orders!$D2,products!$A$1:$A$49,0),MATCH(orders!J$1,products!$A$1:$G$1,0))</calculatedColumnFormula>
    </tableColumn>
    <tableColumn id="11" xr3:uid="{2E433985-5C77-475D-A1C6-F59986C495AA}" name="Size" dataDxfId="71">
      <calculatedColumnFormula>INDEX(products!$A$1:$G$49,MATCH(orders!$D2,products!$A$1:$A$49,0),MATCH(orders!K$1,products!$A$1:$G$1,0))</calculatedColumnFormula>
    </tableColumn>
    <tableColumn id="12" xr3:uid="{B4ADA8C7-F772-481F-938F-E6B563A659B5}" name="Unit Price" dataDxfId="70">
      <calculatedColumnFormula>INDEX(products!$A$1:$G$49,MATCH(orders!$D2,products!$A$1:$A$49,0),MATCH(orders!L$1,products!$A$1:$G$1,0))</calculatedColumnFormula>
    </tableColumn>
    <tableColumn id="13" xr3:uid="{00943766-E323-4050-A961-DA422D46E2C9}" name="Sales" dataDxfId="69">
      <calculatedColumnFormula>L2*E2</calculatedColumnFormula>
    </tableColumn>
    <tableColumn id="14" xr3:uid="{C5D3F558-0769-4FDE-ACDC-01DF1C0865A6}" name="Coffee Type Name">
      <calculatedColumnFormula array="1">_xlfn.IFS(I2="Rob","Robusta",I2="Exc","Excelsa",I2="Ara","Arabica",I2="Lib","Liberica")</calculatedColumnFormula>
    </tableColumn>
    <tableColumn id="15" xr3:uid="{25BF5AEE-4A44-477D-8923-F51E8A283AB9}" name="Roast type name">
      <calculatedColumnFormula array="1">_xlfn.IFS(J2="M","Midium",J2="L","Light",J2="D","Dark")</calculatedColumnFormula>
    </tableColumn>
    <tableColumn id="16" xr3:uid="{45CEE36C-9164-453D-83AB-8638D11293A2}" name="Loyalty Card" dataDxfId="68">
      <calculatedColumnFormula>_xlfn.XLOOKUP(Orders_table[[#This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983" zoomScale="132" zoomScaleNormal="115" workbookViewId="0">
      <selection activeCell="C988" sqref="C988"/>
    </sheetView>
  </sheetViews>
  <sheetFormatPr defaultRowHeight="14.5" x14ac:dyDescent="0.35"/>
  <cols>
    <col min="1" max="1" width="15.1796875" bestFit="1" customWidth="1"/>
    <col min="2" max="2" width="11.453125" customWidth="1"/>
    <col min="3" max="3" width="16" bestFit="1" customWidth="1"/>
    <col min="4" max="4" width="10.90625" customWidth="1"/>
    <col min="5" max="5" width="9.54296875" customWidth="1"/>
    <col min="6" max="6" width="22.1796875" bestFit="1" customWidth="1"/>
    <col min="7" max="7" width="36.1796875" bestFit="1" customWidth="1"/>
    <col min="8" max="8" width="14.1796875" bestFit="1" customWidth="1"/>
    <col min="9" max="9" width="12.08984375" customWidth="1"/>
    <col min="10" max="10" width="11.36328125" customWidth="1"/>
    <col min="11" max="11" width="6.26953125" bestFit="1" customWidth="1"/>
    <col min="12" max="12" width="10.26953125" customWidth="1"/>
    <col min="13" max="13" width="8.54296875" bestFit="1" customWidth="1"/>
    <col min="14" max="14" width="17.54296875" customWidth="1"/>
    <col min="15" max="15" width="16.363281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_xlfn.IFS(J2="M","Midium",J2="L","Light",J2="D","Dark")</f>
        <v>Midium</v>
      </c>
      <c r="P2" t="str">
        <f>_xlfn.XLOOKUP(Orders_table[[#This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_xlfn.IFS(J3="M","Midium",J3="L","Light",J3="D","Dark")</f>
        <v>Midium</v>
      </c>
      <c r="P3" t="str">
        <f>_xlfn.XLOOKUP(Orders_table[[#This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_xlfn.IFS(J4="M","Midium",J4="L","Light",J4="D","Dark")</f>
        <v>Light</v>
      </c>
      <c r="P4" t="str">
        <f>_xlfn.XLOOKUP(Orders_table[[#This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_xlfn.IFS(J5="M","Midium",J5="L","Light",J5="D","Dark")</f>
        <v>Midium</v>
      </c>
      <c r="P5" t="str">
        <f>_xlfn.XLOOKUP(Orders_table[[#This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_xlfn.IFS(J6="M","Midium",J6="L","Light",J6="D","Dark")</f>
        <v>Light</v>
      </c>
      <c r="P6" t="str">
        <f>_xlfn.XLOOKUP(Orders_table[[#This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_xlfn.IFS(J7="M","Midium",J7="L","Light",J7="D","Dark")</f>
        <v>Dark</v>
      </c>
      <c r="P7" t="str">
        <f>_xlfn.XLOOKUP(Orders_table[[#This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_xlfn.IFS(J8="M","Midium",J8="L","Light",J8="D","Dark")</f>
        <v>Dark</v>
      </c>
      <c r="P8" t="str">
        <f>_xlfn.XLOOKUP(Orders_table[[#This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_xlfn.IFS(J9="M","Midium",J9="L","Light",J9="D","Dark")</f>
        <v>Light</v>
      </c>
      <c r="P9" t="str">
        <f>_xlfn.XLOOKUP(Orders_table[[#This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_xlfn.IFS(J10="M","Midium",J10="L","Light",J10="D","Dark")</f>
        <v>Midium</v>
      </c>
      <c r="P10" t="str">
        <f>_xlfn.XLOOKUP(Orders_table[[#This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_xlfn.IFS(J11="M","Midium",J11="L","Light",J11="D","Dark")</f>
        <v>Midium</v>
      </c>
      <c r="P11" t="str">
        <f>_xlfn.XLOOKUP(Orders_table[[#This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_xlfn.IFS(J12="M","Midium",J12="L","Light",J12="D","Dark")</f>
        <v>Dark</v>
      </c>
      <c r="P12" t="str">
        <f>_xlfn.XLOOKUP(Orders_table[[#This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_xlfn.IFS(J13="M","Midium",J13="L","Light",J13="D","Dark")</f>
        <v>Light</v>
      </c>
      <c r="P13" t="str">
        <f>_xlfn.XLOOKUP(Orders_table[[#This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_xlfn.IFS(J14="M","Midium",J14="L","Light",J14="D","Dark")</f>
        <v>Midium</v>
      </c>
      <c r="P14" t="str">
        <f>_xlfn.XLOOKUP(Orders_table[[#This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_xlfn.IFS(J15="M","Midium",J15="L","Light",J15="D","Dark")</f>
        <v>Dark</v>
      </c>
      <c r="P15" t="str">
        <f>_xlfn.XLOOKUP(Orders_table[[#This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_xlfn.IFS(J16="M","Midium",J16="L","Light",J16="D","Dark")</f>
        <v>Dark</v>
      </c>
      <c r="P16" t="str">
        <f>_xlfn.XLOOKUP(Orders_table[[#This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_xlfn.IFS(J17="M","Midium",J17="L","Light",J17="D","Dark")</f>
        <v>Midium</v>
      </c>
      <c r="P17" t="str">
        <f>_xlfn.XLOOKUP(Orders_table[[#This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_xlfn.IFS(J18="M","Midium",J18="L","Light",J18="D","Dark")</f>
        <v>Midium</v>
      </c>
      <c r="P18" t="str">
        <f>_xlfn.XLOOKUP(Orders_table[[#This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_xlfn.IFS(J19="M","Midium",J19="L","Light",J19="D","Dark")</f>
        <v>Light</v>
      </c>
      <c r="P19" t="str">
        <f>_xlfn.XLOOKUP(Orders_table[[#This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_xlfn.IFS(J20="M","Midium",J20="L","Light",J20="D","Dark")</f>
        <v>Dark</v>
      </c>
      <c r="P20" t="str">
        <f>_xlfn.XLOOKUP(Orders_table[[#This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_xlfn.IFS(J21="M","Midium",J21="L","Light",J21="D","Dark")</f>
        <v>Midium</v>
      </c>
      <c r="P21" t="str">
        <f>_xlfn.XLOOKUP(Orders_table[[#This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_xlfn.IFS(J22="M","Midium",J22="L","Light",J22="D","Dark")</f>
        <v>Dark</v>
      </c>
      <c r="P22" t="str">
        <f>_xlfn.XLOOKUP(Orders_table[[#This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_xlfn.IFS(J23="M","Midium",J23="L","Light",J23="D","Dark")</f>
        <v>Dark</v>
      </c>
      <c r="P23" t="str">
        <f>_xlfn.XLOOKUP(Orders_table[[#This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_xlfn.IFS(J24="M","Midium",J24="L","Light",J24="D","Dark")</f>
        <v>Midium</v>
      </c>
      <c r="P24" t="str">
        <f>_xlfn.XLOOKUP(Orders_table[[#This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_xlfn.IFS(J25="M","Midium",J25="L","Light",J25="D","Dark")</f>
        <v>Dark</v>
      </c>
      <c r="P25" t="str">
        <f>_xlfn.XLOOKUP(Orders_table[[#This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_xlfn.IFS(J26="M","Midium",J26="L","Light",J26="D","Dark")</f>
        <v>Midium</v>
      </c>
      <c r="P26" t="str">
        <f>_xlfn.XLOOKUP(Orders_table[[#This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_xlfn.IFS(J27="M","Midium",J27="L","Light",J27="D","Dark")</f>
        <v>Midium</v>
      </c>
      <c r="P27" t="str">
        <f>_xlfn.XLOOKUP(Orders_table[[#This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_xlfn.IFS(J28="M","Midium",J28="L","Light",J28="D","Dark")</f>
        <v>Midium</v>
      </c>
      <c r="P28" t="str">
        <f>_xlfn.XLOOKUP(Orders_table[[#This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_xlfn.IFS(J29="M","Midium",J29="L","Light",J29="D","Dark")</f>
        <v>Midium</v>
      </c>
      <c r="P29" t="str">
        <f>_xlfn.XLOOKUP(Orders_table[[#This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_xlfn.IFS(J30="M","Midium",J30="L","Light",J30="D","Dark")</f>
        <v>Dark</v>
      </c>
      <c r="P30" t="str">
        <f>_xlfn.XLOOKUP(Orders_table[[#This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_xlfn.IFS(J31="M","Midium",J31="L","Light",J31="D","Dark")</f>
        <v>Dark</v>
      </c>
      <c r="P31" t="str">
        <f>_xlfn.XLOOKUP(Orders_table[[#This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_xlfn.IFS(J32="M","Midium",J32="L","Light",J32="D","Dark")</f>
        <v>Midium</v>
      </c>
      <c r="P32" t="str">
        <f>_xlfn.XLOOKUP(Orders_table[[#This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_xlfn.IFS(J33="M","Midium",J33="L","Light",J33="D","Dark")</f>
        <v>Dark</v>
      </c>
      <c r="P33" t="str">
        <f>_xlfn.XLOOKUP(Orders_table[[#This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_xlfn.IFS(J34="M","Midium",J34="L","Light",J34="D","Dark")</f>
        <v>Midium</v>
      </c>
      <c r="P34" t="str">
        <f>_xlfn.XLOOKUP(Orders_table[[#This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_xlfn.IFS(J35="M","Midium",J35="L","Light",J35="D","Dark")</f>
        <v>Light</v>
      </c>
      <c r="P35" t="str">
        <f>_xlfn.XLOOKUP(Orders_table[[#This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_xlfn.IFS(J36="M","Midium",J36="L","Light",J36="D","Dark")</f>
        <v>Light</v>
      </c>
      <c r="P36" t="str">
        <f>_xlfn.XLOOKUP(Orders_table[[#This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_xlfn.IFS(J37="M","Midium",J37="L","Light",J37="D","Dark")</f>
        <v>Dark</v>
      </c>
      <c r="P37" t="str">
        <f>_xlfn.XLOOKUP(Orders_table[[#This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_xlfn.IFS(J38="M","Midium",J38="L","Light",J38="D","Dark")</f>
        <v>Midium</v>
      </c>
      <c r="P38" t="str">
        <f>_xlfn.XLOOKUP(Orders_table[[#This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_xlfn.IFS(J39="M","Midium",J39="L","Light",J39="D","Dark")</f>
        <v>Light</v>
      </c>
      <c r="P39" t="str">
        <f>_xlfn.XLOOKUP(Orders_table[[#This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_xlfn.IFS(J40="M","Midium",J40="L","Light",J40="D","Dark")</f>
        <v>Midium</v>
      </c>
      <c r="P40" t="str">
        <f>_xlfn.XLOOKUP(Orders_table[[#This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_xlfn.IFS(J41="M","Midium",J41="L","Light",J41="D","Dark")</f>
        <v>Midium</v>
      </c>
      <c r="P41" t="str">
        <f>_xlfn.XLOOKUP(Orders_table[[#This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_xlfn.IFS(J42="M","Midium",J42="L","Light",J42="D","Dark")</f>
        <v>Midium</v>
      </c>
      <c r="P42" t="str">
        <f>_xlfn.XLOOKUP(Orders_table[[#This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_xlfn.IFS(J43="M","Midium",J43="L","Light",J43="D","Dark")</f>
        <v>Dark</v>
      </c>
      <c r="P43" t="str">
        <f>_xlfn.XLOOKUP(Orders_table[[#This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_xlfn.IFS(J44="M","Midium",J44="L","Light",J44="D","Dark")</f>
        <v>Dark</v>
      </c>
      <c r="P44" t="str">
        <f>_xlfn.XLOOKUP(Orders_table[[#This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_xlfn.IFS(J45="M","Midium",J45="L","Light",J45="D","Dark")</f>
        <v>Light</v>
      </c>
      <c r="P45" t="str">
        <f>_xlfn.XLOOKUP(Orders_table[[#This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_xlfn.IFS(J46="M","Midium",J46="L","Light",J46="D","Dark")</f>
        <v>Midium</v>
      </c>
      <c r="P46" t="str">
        <f>_xlfn.XLOOKUP(Orders_table[[#This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_xlfn.IFS(J47="M","Midium",J47="L","Light",J47="D","Dark")</f>
        <v>Dark</v>
      </c>
      <c r="P47" t="str">
        <f>_xlfn.XLOOKUP(Orders_table[[#This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_xlfn.IFS(J48="M","Midium",J48="L","Light",J48="D","Dark")</f>
        <v>Midium</v>
      </c>
      <c r="P48" t="str">
        <f>_xlfn.XLOOKUP(Orders_table[[#This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_xlfn.IFS(J49="M","Midium",J49="L","Light",J49="D","Dark")</f>
        <v>Light</v>
      </c>
      <c r="P49" t="str">
        <f>_xlfn.XLOOKUP(Orders_table[[#This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_xlfn.IFS(J50="M","Midium",J50="L","Light",J50="D","Dark")</f>
        <v>Dark</v>
      </c>
      <c r="P50" t="str">
        <f>_xlfn.XLOOKUP(Orders_table[[#This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_xlfn.IFS(J51="M","Midium",J51="L","Light",J51="D","Dark")</f>
        <v>Light</v>
      </c>
      <c r="P51" t="str">
        <f>_xlfn.XLOOKUP(Orders_table[[#This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_xlfn.IFS(J52="M","Midium",J52="L","Light",J52="D","Dark")</f>
        <v>Dark</v>
      </c>
      <c r="P52" t="str">
        <f>_xlfn.XLOOKUP(Orders_table[[#This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_xlfn.IFS(J53="M","Midium",J53="L","Light",J53="D","Dark")</f>
        <v>Light</v>
      </c>
      <c r="P53" t="str">
        <f>_xlfn.XLOOKUP(Orders_table[[#This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_xlfn.IFS(J54="M","Midium",J54="L","Light",J54="D","Dark")</f>
        <v>Midium</v>
      </c>
      <c r="P54" t="str">
        <f>_xlfn.XLOOKUP(Orders_table[[#This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_xlfn.IFS(J55="M","Midium",J55="L","Light",J55="D","Dark")</f>
        <v>Light</v>
      </c>
      <c r="P55" t="str">
        <f>_xlfn.XLOOKUP(Orders_table[[#This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_xlfn.IFS(J56="M","Midium",J56="L","Light",J56="D","Dark")</f>
        <v>Midium</v>
      </c>
      <c r="P56" t="str">
        <f>_xlfn.XLOOKUP(Orders_table[[#This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_xlfn.IFS(J57="M","Midium",J57="L","Light",J57="D","Dark")</f>
        <v>Light</v>
      </c>
      <c r="P57" t="str">
        <f>_xlfn.XLOOKUP(Orders_table[[#This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_xlfn.IFS(J58="M","Midium",J58="L","Light",J58="D","Dark")</f>
        <v>Dark</v>
      </c>
      <c r="P58" t="str">
        <f>_xlfn.XLOOKUP(Orders_table[[#This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_xlfn.IFS(J59="M","Midium",J59="L","Light",J59="D","Dark")</f>
        <v>Light</v>
      </c>
      <c r="P59" t="str">
        <f>_xlfn.XLOOKUP(Orders_table[[#This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_xlfn.IFS(J60="M","Midium",J60="L","Light",J60="D","Dark")</f>
        <v>Dark</v>
      </c>
      <c r="P60" t="str">
        <f>_xlfn.XLOOKUP(Orders_table[[#This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_xlfn.IFS(J61="M","Midium",J61="L","Light",J61="D","Dark")</f>
        <v>Midium</v>
      </c>
      <c r="P61" t="str">
        <f>_xlfn.XLOOKUP(Orders_table[[#This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_xlfn.IFS(J62="M","Midium",J62="L","Light",J62="D","Dark")</f>
        <v>Dark</v>
      </c>
      <c r="P62" t="str">
        <f>_xlfn.XLOOKUP(Orders_table[[#This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_xlfn.IFS(J63="M","Midium",J63="L","Light",J63="D","Dark")</f>
        <v>Dark</v>
      </c>
      <c r="P63" t="str">
        <f>_xlfn.XLOOKUP(Orders_table[[#This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_xlfn.IFS(J64="M","Midium",J64="L","Light",J64="D","Dark")</f>
        <v>Light</v>
      </c>
      <c r="P64" t="str">
        <f>_xlfn.XLOOKUP(Orders_table[[#This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_xlfn.IFS(J65="M","Midium",J65="L","Light",J65="D","Dark")</f>
        <v>Midium</v>
      </c>
      <c r="P65" t="str">
        <f>_xlfn.XLOOKUP(Orders_table[[#This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_xlfn.IFS(J66="M","Midium",J66="L","Light",J66="D","Dark")</f>
        <v>Midium</v>
      </c>
      <c r="P66" t="str">
        <f>_xlfn.XLOOKUP(Orders_table[[#This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_xlfn.IFS(J67="M","Midium",J67="L","Light",J67="D","Dark")</f>
        <v>Dark</v>
      </c>
      <c r="P67" t="str">
        <f>_xlfn.XLOOKUP(Orders_table[[#This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_xlfn.IFS(J68="M","Midium",J68="L","Light",J68="D","Dark")</f>
        <v>Light</v>
      </c>
      <c r="P68" t="str">
        <f>_xlfn.XLOOKUP(Orders_table[[#This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_xlfn.IFS(J69="M","Midium",J69="L","Light",J69="D","Dark")</f>
        <v>Light</v>
      </c>
      <c r="P69" t="str">
        <f>_xlfn.XLOOKUP(Orders_table[[#This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_xlfn.IFS(J70="M","Midium",J70="L","Light",J70="D","Dark")</f>
        <v>Midium</v>
      </c>
      <c r="P70" t="str">
        <f>_xlfn.XLOOKUP(Orders_table[[#This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_xlfn.IFS(J71="M","Midium",J71="L","Light",J71="D","Dark")</f>
        <v>Midium</v>
      </c>
      <c r="P71" t="str">
        <f>_xlfn.XLOOKUP(Orders_table[[#This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_xlfn.IFS(J72="M","Midium",J72="L","Light",J72="D","Dark")</f>
        <v>Light</v>
      </c>
      <c r="P72" t="str">
        <f>_xlfn.XLOOKUP(Orders_table[[#This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_xlfn.IFS(J73="M","Midium",J73="L","Light",J73="D","Dark")</f>
        <v>Light</v>
      </c>
      <c r="P73" t="str">
        <f>_xlfn.XLOOKUP(Orders_table[[#This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_xlfn.IFS(J74="M","Midium",J74="L","Light",J74="D","Dark")</f>
        <v>Midium</v>
      </c>
      <c r="P74" t="str">
        <f>_xlfn.XLOOKUP(Orders_table[[#This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_xlfn.IFS(J75="M","Midium",J75="L","Light",J75="D","Dark")</f>
        <v>Midium</v>
      </c>
      <c r="P75" t="str">
        <f>_xlfn.XLOOKUP(Orders_table[[#This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_xlfn.IFS(J76="M","Midium",J76="L","Light",J76="D","Dark")</f>
        <v>Light</v>
      </c>
      <c r="P76" t="str">
        <f>_xlfn.XLOOKUP(Orders_table[[#This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_xlfn.IFS(J77="M","Midium",J77="L","Light",J77="D","Dark")</f>
        <v>Dark</v>
      </c>
      <c r="P77" t="str">
        <f>_xlfn.XLOOKUP(Orders_table[[#This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_xlfn.IFS(J78="M","Midium",J78="L","Light",J78="D","Dark")</f>
        <v>Light</v>
      </c>
      <c r="P78" t="str">
        <f>_xlfn.XLOOKUP(Orders_table[[#This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_xlfn.IFS(J79="M","Midium",J79="L","Light",J79="D","Dark")</f>
        <v>Dark</v>
      </c>
      <c r="P79" t="str">
        <f>_xlfn.XLOOKUP(Orders_table[[#This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_xlfn.IFS(J80="M","Midium",J80="L","Light",J80="D","Dark")</f>
        <v>Midium</v>
      </c>
      <c r="P80" t="str">
        <f>_xlfn.XLOOKUP(Orders_table[[#This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_xlfn.IFS(J81="M","Midium",J81="L","Light",J81="D","Dark")</f>
        <v>Light</v>
      </c>
      <c r="P81" t="str">
        <f>_xlfn.XLOOKUP(Orders_table[[#This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_xlfn.IFS(J82="M","Midium",J82="L","Light",J82="D","Dark")</f>
        <v>Light</v>
      </c>
      <c r="P82" t="str">
        <f>_xlfn.XLOOKUP(Orders_table[[#This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_xlfn.IFS(J83="M","Midium",J83="L","Light",J83="D","Dark")</f>
        <v>Light</v>
      </c>
      <c r="P83" t="str">
        <f>_xlfn.XLOOKUP(Orders_table[[#This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_xlfn.IFS(J84="M","Midium",J84="L","Light",J84="D","Dark")</f>
        <v>Midium</v>
      </c>
      <c r="P84" t="str">
        <f>_xlfn.XLOOKUP(Orders_table[[#This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_xlfn.IFS(J85="M","Midium",J85="L","Light",J85="D","Dark")</f>
        <v>Dark</v>
      </c>
      <c r="P85" t="str">
        <f>_xlfn.XLOOKUP(Orders_table[[#This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_xlfn.IFS(J86="M","Midium",J86="L","Light",J86="D","Dark")</f>
        <v>Light</v>
      </c>
      <c r="P86" t="str">
        <f>_xlfn.XLOOKUP(Orders_table[[#This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_xlfn.IFS(J87="M","Midium",J87="L","Light",J87="D","Dark")</f>
        <v>Light</v>
      </c>
      <c r="P87" t="str">
        <f>_xlfn.XLOOKUP(Orders_table[[#This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_xlfn.IFS(J88="M","Midium",J88="L","Light",J88="D","Dark")</f>
        <v>Dark</v>
      </c>
      <c r="P88" t="str">
        <f>_xlfn.XLOOKUP(Orders_table[[#This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_xlfn.IFS(J89="M","Midium",J89="L","Light",J89="D","Dark")</f>
        <v>Midium</v>
      </c>
      <c r="P89" t="str">
        <f>_xlfn.XLOOKUP(Orders_table[[#This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_xlfn.IFS(J90="M","Midium",J90="L","Light",J90="D","Dark")</f>
        <v>Light</v>
      </c>
      <c r="P90" t="str">
        <f>_xlfn.XLOOKUP(Orders_table[[#This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_xlfn.IFS(J91="M","Midium",J91="L","Light",J91="D","Dark")</f>
        <v>Light</v>
      </c>
      <c r="P91" t="str">
        <f>_xlfn.XLOOKUP(Orders_table[[#This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_xlfn.IFS(J92="M","Midium",J92="L","Light",J92="D","Dark")</f>
        <v>Light</v>
      </c>
      <c r="P92" t="str">
        <f>_xlfn.XLOOKUP(Orders_table[[#This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_xlfn.IFS(J93="M","Midium",J93="L","Light",J93="D","Dark")</f>
        <v>Midium</v>
      </c>
      <c r="P93" t="str">
        <f>_xlfn.XLOOKUP(Orders_table[[#This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_xlfn.IFS(J94="M","Midium",J94="L","Light",J94="D","Dark")</f>
        <v>Light</v>
      </c>
      <c r="P94" t="str">
        <f>_xlfn.XLOOKUP(Orders_table[[#This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_xlfn.IFS(J95="M","Midium",J95="L","Light",J95="D","Dark")</f>
        <v>Light</v>
      </c>
      <c r="P95" t="str">
        <f>_xlfn.XLOOKUP(Orders_table[[#This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_xlfn.IFS(J96="M","Midium",J96="L","Light",J96="D","Dark")</f>
        <v>Dark</v>
      </c>
      <c r="P96" t="str">
        <f>_xlfn.XLOOKUP(Orders_table[[#This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_xlfn.IFS(J97="M","Midium",J97="L","Light",J97="D","Dark")</f>
        <v>Midium</v>
      </c>
      <c r="P97" t="str">
        <f>_xlfn.XLOOKUP(Orders_table[[#This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_xlfn.IFS(J98="M","Midium",J98="L","Light",J98="D","Dark")</f>
        <v>Dark</v>
      </c>
      <c r="P98" t="str">
        <f>_xlfn.XLOOKUP(Orders_table[[#This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_xlfn.IFS(J99="M","Midium",J99="L","Light",J99="D","Dark")</f>
        <v>Midium</v>
      </c>
      <c r="P99" t="str">
        <f>_xlfn.XLOOKUP(Orders_table[[#This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_xlfn.IFS(J100="M","Midium",J100="L","Light",J100="D","Dark")</f>
        <v>Dark</v>
      </c>
      <c r="P100" t="str">
        <f>_xlfn.XLOOKUP(Orders_table[[#This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_xlfn.IFS(J101="M","Midium",J101="L","Light",J101="D","Dark")</f>
        <v>Midium</v>
      </c>
      <c r="P101" t="str">
        <f>_xlfn.XLOOKUP(Orders_table[[#This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_xlfn.IFS(J102="M","Midium",J102="L","Light",J102="D","Dark")</f>
        <v>Light</v>
      </c>
      <c r="P102" t="str">
        <f>_xlfn.XLOOKUP(Orders_table[[#This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_xlfn.IFS(J103="M","Midium",J103="L","Light",J103="D","Dark")</f>
        <v>Dark</v>
      </c>
      <c r="P103" t="str">
        <f>_xlfn.XLOOKUP(Orders_table[[#This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_xlfn.IFS(J104="M","Midium",J104="L","Light",J104="D","Dark")</f>
        <v>Dark</v>
      </c>
      <c r="P104" t="str">
        <f>_xlfn.XLOOKUP(Orders_table[[#This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_xlfn.IFS(J105="M","Midium",J105="L","Light",J105="D","Dark")</f>
        <v>Midium</v>
      </c>
      <c r="P105" t="str">
        <f>_xlfn.XLOOKUP(Orders_table[[#This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_xlfn.IFS(J106="M","Midium",J106="L","Light",J106="D","Dark")</f>
        <v>Midium</v>
      </c>
      <c r="P106" t="str">
        <f>_xlfn.XLOOKUP(Orders_table[[#This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_xlfn.IFS(J107="M","Midium",J107="L","Light",J107="D","Dark")</f>
        <v>Midium</v>
      </c>
      <c r="P107" t="str">
        <f>_xlfn.XLOOKUP(Orders_table[[#This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_xlfn.IFS(J108="M","Midium",J108="L","Light",J108="D","Dark")</f>
        <v>Dark</v>
      </c>
      <c r="P108" t="str">
        <f>_xlfn.XLOOKUP(Orders_table[[#This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_xlfn.IFS(J109="M","Midium",J109="L","Light",J109="D","Dark")</f>
        <v>Midium</v>
      </c>
      <c r="P109" t="str">
        <f>_xlfn.XLOOKUP(Orders_table[[#This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_xlfn.IFS(J110="M","Midium",J110="L","Light",J110="D","Dark")</f>
        <v>Midium</v>
      </c>
      <c r="P110" t="str">
        <f>_xlfn.XLOOKUP(Orders_table[[#This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_xlfn.IFS(J111="M","Midium",J111="L","Light",J111="D","Dark")</f>
        <v>Dark</v>
      </c>
      <c r="P111" t="str">
        <f>_xlfn.XLOOKUP(Orders_table[[#This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_xlfn.IFS(J112="M","Midium",J112="L","Light",J112="D","Dark")</f>
        <v>Light</v>
      </c>
      <c r="P112" t="str">
        <f>_xlfn.XLOOKUP(Orders_table[[#This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_xlfn.IFS(J113="M","Midium",J113="L","Light",J113="D","Dark")</f>
        <v>Dark</v>
      </c>
      <c r="P113" t="str">
        <f>_xlfn.XLOOKUP(Orders_table[[#This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_xlfn.IFS(J114="M","Midium",J114="L","Light",J114="D","Dark")</f>
        <v>Midium</v>
      </c>
      <c r="P114" t="str">
        <f>_xlfn.XLOOKUP(Orders_table[[#This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_xlfn.IFS(J115="M","Midium",J115="L","Light",J115="D","Dark")</f>
        <v>Midium</v>
      </c>
      <c r="P115" t="str">
        <f>_xlfn.XLOOKUP(Orders_table[[#This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_xlfn.IFS(J116="M","Midium",J116="L","Light",J116="D","Dark")</f>
        <v>Light</v>
      </c>
      <c r="P116" t="str">
        <f>_xlfn.XLOOKUP(Orders_table[[#This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_xlfn.IFS(J117="M","Midium",J117="L","Light",J117="D","Dark")</f>
        <v>Light</v>
      </c>
      <c r="P117" t="str">
        <f>_xlfn.XLOOKUP(Orders_table[[#This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_xlfn.IFS(J118="M","Midium",J118="L","Light",J118="D","Dark")</f>
        <v>Light</v>
      </c>
      <c r="P118" t="str">
        <f>_xlfn.XLOOKUP(Orders_table[[#This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_xlfn.IFS(J119="M","Midium",J119="L","Light",J119="D","Dark")</f>
        <v>Light</v>
      </c>
      <c r="P119" t="str">
        <f>_xlfn.XLOOKUP(Orders_table[[#This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_xlfn.IFS(J120="M","Midium",J120="L","Light",J120="D","Dark")</f>
        <v>Dark</v>
      </c>
      <c r="P120" t="str">
        <f>_xlfn.XLOOKUP(Orders_table[[#This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_xlfn.IFS(J121="M","Midium",J121="L","Light",J121="D","Dark")</f>
        <v>Midium</v>
      </c>
      <c r="P121" t="str">
        <f>_xlfn.XLOOKUP(Orders_table[[#This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_xlfn.IFS(J122="M","Midium",J122="L","Light",J122="D","Dark")</f>
        <v>Light</v>
      </c>
      <c r="P122" t="str">
        <f>_xlfn.XLOOKUP(Orders_table[[#This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_xlfn.IFS(J123="M","Midium",J123="L","Light",J123="D","Dark")</f>
        <v>Midium</v>
      </c>
      <c r="P123" t="str">
        <f>_xlfn.XLOOKUP(Orders_table[[#This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_xlfn.IFS(J124="M","Midium",J124="L","Light",J124="D","Dark")</f>
        <v>Dark</v>
      </c>
      <c r="P124" t="str">
        <f>_xlfn.XLOOKUP(Orders_table[[#This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_xlfn.IFS(J125="M","Midium",J125="L","Light",J125="D","Dark")</f>
        <v>Light</v>
      </c>
      <c r="P125" t="str">
        <f>_xlfn.XLOOKUP(Orders_table[[#This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_xlfn.IFS(J126="M","Midium",J126="L","Light",J126="D","Dark")</f>
        <v>Midium</v>
      </c>
      <c r="P126" t="str">
        <f>_xlfn.XLOOKUP(Orders_table[[#This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_xlfn.IFS(J127="M","Midium",J127="L","Light",J127="D","Dark")</f>
        <v>Midium</v>
      </c>
      <c r="P127" t="str">
        <f>_xlfn.XLOOKUP(Orders_table[[#This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_xlfn.IFS(J128="M","Midium",J128="L","Light",J128="D","Dark")</f>
        <v>Midium</v>
      </c>
      <c r="P128" t="str">
        <f>_xlfn.XLOOKUP(Orders_table[[#This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_xlfn.IFS(J129="M","Midium",J129="L","Light",J129="D","Dark")</f>
        <v>Dark</v>
      </c>
      <c r="P129" t="str">
        <f>_xlfn.XLOOKUP(Orders_table[[#This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_xlfn.IFS(J130="M","Midium",J130="L","Light",J130="D","Dark")</f>
        <v>Midium</v>
      </c>
      <c r="P130" t="str">
        <f>_xlfn.XLOOKUP(Orders_table[[#This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_xlfn.IFS(J131="M","Midium",J131="L","Light",J131="D","Dark")</f>
        <v>Dark</v>
      </c>
      <c r="P131" t="str">
        <f>_xlfn.XLOOKUP(Orders_table[[#This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_xlfn.IFS(J132="M","Midium",J132="L","Light",J132="D","Dark")</f>
        <v>Light</v>
      </c>
      <c r="P132" t="str">
        <f>_xlfn.XLOOKUP(Orders_table[[#This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_xlfn.IFS(J133="M","Midium",J133="L","Light",J133="D","Dark")</f>
        <v>Dark</v>
      </c>
      <c r="P133" t="str">
        <f>_xlfn.XLOOKUP(Orders_table[[#This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_xlfn.IFS(J134="M","Midium",J134="L","Light",J134="D","Dark")</f>
        <v>Light</v>
      </c>
      <c r="P134" t="str">
        <f>_xlfn.XLOOKUP(Orders_table[[#This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_xlfn.IFS(J135="M","Midium",J135="L","Light",J135="D","Dark")</f>
        <v>Dark</v>
      </c>
      <c r="P135" t="str">
        <f>_xlfn.XLOOKUP(Orders_table[[#This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_xlfn.IFS(J136="M","Midium",J136="L","Light",J136="D","Dark")</f>
        <v>Midium</v>
      </c>
      <c r="P136" t="str">
        <f>_xlfn.XLOOKUP(Orders_table[[#This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_xlfn.IFS(J137="M","Midium",J137="L","Light",J137="D","Dark")</f>
        <v>Light</v>
      </c>
      <c r="P137" t="str">
        <f>_xlfn.XLOOKUP(Orders_table[[#This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_xlfn.IFS(J138="M","Midium",J138="L","Light",J138="D","Dark")</f>
        <v>Dark</v>
      </c>
      <c r="P138" t="str">
        <f>_xlfn.XLOOKUP(Orders_table[[#This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_xlfn.IFS(J139="M","Midium",J139="L","Light",J139="D","Dark")</f>
        <v>Light</v>
      </c>
      <c r="P139" t="str">
        <f>_xlfn.XLOOKUP(Orders_table[[#This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_xlfn.IFS(J140="M","Midium",J140="L","Light",J140="D","Dark")</f>
        <v>Dark</v>
      </c>
      <c r="P140" t="str">
        <f>_xlfn.XLOOKUP(Orders_table[[#This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_xlfn.IFS(J141="M","Midium",J141="L","Light",J141="D","Dark")</f>
        <v>Dark</v>
      </c>
      <c r="P141" t="str">
        <f>_xlfn.XLOOKUP(Orders_table[[#This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_xlfn.IFS(J142="M","Midium",J142="L","Light",J142="D","Dark")</f>
        <v>Dark</v>
      </c>
      <c r="P142" t="str">
        <f>_xlfn.XLOOKUP(Orders_table[[#This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_xlfn.IFS(J143="M","Midium",J143="L","Light",J143="D","Dark")</f>
        <v>Light</v>
      </c>
      <c r="P143" t="str">
        <f>_xlfn.XLOOKUP(Orders_table[[#This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_xlfn.IFS(J144="M","Midium",J144="L","Light",J144="D","Dark")</f>
        <v>Light</v>
      </c>
      <c r="P144" t="str">
        <f>_xlfn.XLOOKUP(Orders_table[[#This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_xlfn.IFS(J145="M","Midium",J145="L","Light",J145="D","Dark")</f>
        <v>Midium</v>
      </c>
      <c r="P145" t="str">
        <f>_xlfn.XLOOKUP(Orders_table[[#This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_xlfn.IFS(J146="M","Midium",J146="L","Light",J146="D","Dark")</f>
        <v>Light</v>
      </c>
      <c r="P146" t="str">
        <f>_xlfn.XLOOKUP(Orders_table[[#This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_xlfn.IFS(J147="M","Midium",J147="L","Light",J147="D","Dark")</f>
        <v>Midium</v>
      </c>
      <c r="P147" t="str">
        <f>_xlfn.XLOOKUP(Orders_table[[#This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_xlfn.IFS(J148="M","Midium",J148="L","Light",J148="D","Dark")</f>
        <v>Midium</v>
      </c>
      <c r="P148" t="str">
        <f>_xlfn.XLOOKUP(Orders_table[[#This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_xlfn.IFS(J149="M","Midium",J149="L","Light",J149="D","Dark")</f>
        <v>Midium</v>
      </c>
      <c r="P149" t="str">
        <f>_xlfn.XLOOKUP(Orders_table[[#This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_xlfn.IFS(J150="M","Midium",J150="L","Light",J150="D","Dark")</f>
        <v>Dark</v>
      </c>
      <c r="P150" t="str">
        <f>_xlfn.XLOOKUP(Orders_table[[#This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_xlfn.IFS(J151="M","Midium",J151="L","Light",J151="D","Dark")</f>
        <v>Midium</v>
      </c>
      <c r="P151" t="str">
        <f>_xlfn.XLOOKUP(Orders_table[[#This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_xlfn.IFS(J152="M","Midium",J152="L","Light",J152="D","Dark")</f>
        <v>Dark</v>
      </c>
      <c r="P152" t="str">
        <f>_xlfn.XLOOKUP(Orders_table[[#This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_xlfn.IFS(J153="M","Midium",J153="L","Light",J153="D","Dark")</f>
        <v>Midium</v>
      </c>
      <c r="P153" t="str">
        <f>_xlfn.XLOOKUP(Orders_table[[#This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_xlfn.IFS(J154="M","Midium",J154="L","Light",J154="D","Dark")</f>
        <v>Midium</v>
      </c>
      <c r="P154" t="str">
        <f>_xlfn.XLOOKUP(Orders_table[[#This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_xlfn.IFS(J155="M","Midium",J155="L","Light",J155="D","Dark")</f>
        <v>Dark</v>
      </c>
      <c r="P155" t="str">
        <f>_xlfn.XLOOKUP(Orders_table[[#This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_xlfn.IFS(J156="M","Midium",J156="L","Light",J156="D","Dark")</f>
        <v>Dark</v>
      </c>
      <c r="P156" t="str">
        <f>_xlfn.XLOOKUP(Orders_table[[#This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_xlfn.IFS(J157="M","Midium",J157="L","Light",J157="D","Dark")</f>
        <v>Midium</v>
      </c>
      <c r="P157" t="str">
        <f>_xlfn.XLOOKUP(Orders_table[[#This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_xlfn.IFS(J158="M","Midium",J158="L","Light",J158="D","Dark")</f>
        <v>Midium</v>
      </c>
      <c r="P158" t="str">
        <f>_xlfn.XLOOKUP(Orders_table[[#This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_xlfn.IFS(J159="M","Midium",J159="L","Light",J159="D","Dark")</f>
        <v>Dark</v>
      </c>
      <c r="P159" t="str">
        <f>_xlfn.XLOOKUP(Orders_table[[#This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_xlfn.IFS(J160="M","Midium",J160="L","Light",J160="D","Dark")</f>
        <v>Dark</v>
      </c>
      <c r="P160" t="str">
        <f>_xlfn.XLOOKUP(Orders_table[[#This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_xlfn.IFS(J161="M","Midium",J161="L","Light",J161="D","Dark")</f>
        <v>Light</v>
      </c>
      <c r="P161" t="str">
        <f>_xlfn.XLOOKUP(Orders_table[[#This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_xlfn.IFS(J162="M","Midium",J162="L","Light",J162="D","Dark")</f>
        <v>Midium</v>
      </c>
      <c r="P162" t="str">
        <f>_xlfn.XLOOKUP(Orders_table[[#This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_xlfn.IFS(J163="M","Midium",J163="L","Light",J163="D","Dark")</f>
        <v>Light</v>
      </c>
      <c r="P163" t="str">
        <f>_xlfn.XLOOKUP(Orders_table[[#This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_xlfn.IFS(J164="M","Midium",J164="L","Light",J164="D","Dark")</f>
        <v>Dark</v>
      </c>
      <c r="P164" t="str">
        <f>_xlfn.XLOOKUP(Orders_table[[#This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_xlfn.IFS(J165="M","Midium",J165="L","Light",J165="D","Dark")</f>
        <v>Dark</v>
      </c>
      <c r="P165" t="str">
        <f>_xlfn.XLOOKUP(Orders_table[[#This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_xlfn.IFS(J166="M","Midium",J166="L","Light",J166="D","Dark")</f>
        <v>Dark</v>
      </c>
      <c r="P166" t="str">
        <f>_xlfn.XLOOKUP(Orders_table[[#This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_xlfn.IFS(J167="M","Midium",J167="L","Light",J167="D","Dark")</f>
        <v>Dark</v>
      </c>
      <c r="P167" t="str">
        <f>_xlfn.XLOOKUP(Orders_table[[#This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_xlfn.IFS(J168="M","Midium",J168="L","Light",J168="D","Dark")</f>
        <v>Dark</v>
      </c>
      <c r="P168" t="str">
        <f>_xlfn.XLOOKUP(Orders_table[[#This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_xlfn.IFS(J169="M","Midium",J169="L","Light",J169="D","Dark")</f>
        <v>Midium</v>
      </c>
      <c r="P169" t="str">
        <f>_xlfn.XLOOKUP(Orders_table[[#This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_xlfn.IFS(J170="M","Midium",J170="L","Light",J170="D","Dark")</f>
        <v>Midium</v>
      </c>
      <c r="P170" t="str">
        <f>_xlfn.XLOOKUP(Orders_table[[#This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_xlfn.IFS(J171="M","Midium",J171="L","Light",J171="D","Dark")</f>
        <v>Dark</v>
      </c>
      <c r="P171" t="str">
        <f>_xlfn.XLOOKUP(Orders_table[[#This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_xlfn.IFS(J172="M","Midium",J172="L","Light",J172="D","Dark")</f>
        <v>Light</v>
      </c>
      <c r="P172" t="str">
        <f>_xlfn.XLOOKUP(Orders_table[[#This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_xlfn.IFS(J173="M","Midium",J173="L","Light",J173="D","Dark")</f>
        <v>Midium</v>
      </c>
      <c r="P173" t="str">
        <f>_xlfn.XLOOKUP(Orders_table[[#This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_xlfn.IFS(J174="M","Midium",J174="L","Light",J174="D","Dark")</f>
        <v>Dark</v>
      </c>
      <c r="P174" t="str">
        <f>_xlfn.XLOOKUP(Orders_table[[#This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_xlfn.IFS(J175="M","Midium",J175="L","Light",J175="D","Dark")</f>
        <v>Midium</v>
      </c>
      <c r="P175" t="str">
        <f>_xlfn.XLOOKUP(Orders_table[[#This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_xlfn.IFS(J176="M","Midium",J176="L","Light",J176="D","Dark")</f>
        <v>Light</v>
      </c>
      <c r="P176" t="str">
        <f>_xlfn.XLOOKUP(Orders_table[[#This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_xlfn.IFS(J177="M","Midium",J177="L","Light",J177="D","Dark")</f>
        <v>Midium</v>
      </c>
      <c r="P177" t="str">
        <f>_xlfn.XLOOKUP(Orders_table[[#This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_xlfn.IFS(J178="M","Midium",J178="L","Light",J178="D","Dark")</f>
        <v>Light</v>
      </c>
      <c r="P178" t="str">
        <f>_xlfn.XLOOKUP(Orders_table[[#This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_xlfn.IFS(J179="M","Midium",J179="L","Light",J179="D","Dark")</f>
        <v>Light</v>
      </c>
      <c r="P179" t="str">
        <f>_xlfn.XLOOKUP(Orders_table[[#This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_xlfn.IFS(J180="M","Midium",J180="L","Light",J180="D","Dark")</f>
        <v>Light</v>
      </c>
      <c r="P180" t="str">
        <f>_xlfn.XLOOKUP(Orders_table[[#This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_xlfn.IFS(J181="M","Midium",J181="L","Light",J181="D","Dark")</f>
        <v>Dark</v>
      </c>
      <c r="P181" t="str">
        <f>_xlfn.XLOOKUP(Orders_table[[#This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_xlfn.IFS(J182="M","Midium",J182="L","Light",J182="D","Dark")</f>
        <v>Light</v>
      </c>
      <c r="P182" t="str">
        <f>_xlfn.XLOOKUP(Orders_table[[#This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_xlfn.IFS(J183="M","Midium",J183="L","Light",J183="D","Dark")</f>
        <v>Dark</v>
      </c>
      <c r="P183" t="str">
        <f>_xlfn.XLOOKUP(Orders_table[[#This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_xlfn.IFS(J184="M","Midium",J184="L","Light",J184="D","Dark")</f>
        <v>Dark</v>
      </c>
      <c r="P184" t="str">
        <f>_xlfn.XLOOKUP(Orders_table[[#This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_xlfn.IFS(J185="M","Midium",J185="L","Light",J185="D","Dark")</f>
        <v>Midium</v>
      </c>
      <c r="P185" t="str">
        <f>_xlfn.XLOOKUP(Orders_table[[#This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_xlfn.IFS(J186="M","Midium",J186="L","Light",J186="D","Dark")</f>
        <v>Light</v>
      </c>
      <c r="P186" t="str">
        <f>_xlfn.XLOOKUP(Orders_table[[#This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_xlfn.IFS(J187="M","Midium",J187="L","Light",J187="D","Dark")</f>
        <v>Dark</v>
      </c>
      <c r="P187" t="str">
        <f>_xlfn.XLOOKUP(Orders_table[[#This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_xlfn.IFS(J188="M","Midium",J188="L","Light",J188="D","Dark")</f>
        <v>Midium</v>
      </c>
      <c r="P188" t="str">
        <f>_xlfn.XLOOKUP(Orders_table[[#This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_xlfn.IFS(J189="M","Midium",J189="L","Light",J189="D","Dark")</f>
        <v>Midium</v>
      </c>
      <c r="P189" t="str">
        <f>_xlfn.XLOOKUP(Orders_table[[#This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_xlfn.IFS(J190="M","Midium",J190="L","Light",J190="D","Dark")</f>
        <v>Light</v>
      </c>
      <c r="P190" t="str">
        <f>_xlfn.XLOOKUP(Orders_table[[#This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_xlfn.IFS(J191="M","Midium",J191="L","Light",J191="D","Dark")</f>
        <v>Midium</v>
      </c>
      <c r="P191" t="str">
        <f>_xlfn.XLOOKUP(Orders_table[[#This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_xlfn.IFS(J192="M","Midium",J192="L","Light",J192="D","Dark")</f>
        <v>Midium</v>
      </c>
      <c r="P192" t="str">
        <f>_xlfn.XLOOKUP(Orders_table[[#This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_xlfn.IFS(J193="M","Midium",J193="L","Light",J193="D","Dark")</f>
        <v>Dark</v>
      </c>
      <c r="P193" t="str">
        <f>_xlfn.XLOOKUP(Orders_table[[#This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_xlfn.IFS(J194="M","Midium",J194="L","Light",J194="D","Dark")</f>
        <v>Dark</v>
      </c>
      <c r="P194" t="str">
        <f>_xlfn.XLOOKUP(Orders_table[[#This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_xlfn.IFS(J195="M","Midium",J195="L","Light",J195="D","Dark")</f>
        <v>Light</v>
      </c>
      <c r="P195" t="str">
        <f>_xlfn.XLOOKUP(Orders_table[[#This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_xlfn.IFS(J196="M","Midium",J196="L","Light",J196="D","Dark")</f>
        <v>Dark</v>
      </c>
      <c r="P196" t="str">
        <f>_xlfn.XLOOKUP(Orders_table[[#This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_xlfn.IFS(J197="M","Midium",J197="L","Light",J197="D","Dark")</f>
        <v>Light</v>
      </c>
      <c r="P197" t="str">
        <f>_xlfn.XLOOKUP(Orders_table[[#This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_xlfn.IFS(J198="M","Midium",J198="L","Light",J198="D","Dark")</f>
        <v>Light</v>
      </c>
      <c r="P198" t="str">
        <f>_xlfn.XLOOKUP(Orders_table[[#This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_xlfn.IFS(J199="M","Midium",J199="L","Light",J199="D","Dark")</f>
        <v>Dark</v>
      </c>
      <c r="P199" t="str">
        <f>_xlfn.XLOOKUP(Orders_table[[#This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_xlfn.IFS(J200="M","Midium",J200="L","Light",J200="D","Dark")</f>
        <v>Dark</v>
      </c>
      <c r="P200" t="str">
        <f>_xlfn.XLOOKUP(Orders_table[[#This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_xlfn.IFS(J201="M","Midium",J201="L","Light",J201="D","Dark")</f>
        <v>Light</v>
      </c>
      <c r="P201" t="str">
        <f>_xlfn.XLOOKUP(Orders_table[[#This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_xlfn.IFS(J202="M","Midium",J202="L","Light",J202="D","Dark")</f>
        <v>Midium</v>
      </c>
      <c r="P202" t="str">
        <f>_xlfn.XLOOKUP(Orders_table[[#This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_xlfn.IFS(J203="M","Midium",J203="L","Light",J203="D","Dark")</f>
        <v>Light</v>
      </c>
      <c r="P203" t="str">
        <f>_xlfn.XLOOKUP(Orders_table[[#This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_xlfn.IFS(J204="M","Midium",J204="L","Light",J204="D","Dark")</f>
        <v>Dark</v>
      </c>
      <c r="P204" t="str">
        <f>_xlfn.XLOOKUP(Orders_table[[#This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_xlfn.IFS(J205="M","Midium",J205="L","Light",J205="D","Dark")</f>
        <v>Light</v>
      </c>
      <c r="P205" t="str">
        <f>_xlfn.XLOOKUP(Orders_table[[#This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_xlfn.IFS(J206="M","Midium",J206="L","Light",J206="D","Dark")</f>
        <v>Midium</v>
      </c>
      <c r="P206" t="str">
        <f>_xlfn.XLOOKUP(Orders_table[[#This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_xlfn.IFS(J207="M","Midium",J207="L","Light",J207="D","Dark")</f>
        <v>Dark</v>
      </c>
      <c r="P207" t="str">
        <f>_xlfn.XLOOKUP(Orders_table[[#This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_xlfn.IFS(J208="M","Midium",J208="L","Light",J208="D","Dark")</f>
        <v>Midium</v>
      </c>
      <c r="P208" t="str">
        <f>_xlfn.XLOOKUP(Orders_table[[#This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_xlfn.IFS(J209="M","Midium",J209="L","Light",J209="D","Dark")</f>
        <v>Midium</v>
      </c>
      <c r="P209" t="str">
        <f>_xlfn.XLOOKUP(Orders_table[[#This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_xlfn.IFS(J210="M","Midium",J210="L","Light",J210="D","Dark")</f>
        <v>Dark</v>
      </c>
      <c r="P210" t="str">
        <f>_xlfn.XLOOKUP(Orders_table[[#This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_xlfn.IFS(J211="M","Midium",J211="L","Light",J211="D","Dark")</f>
        <v>Midium</v>
      </c>
      <c r="P211" t="str">
        <f>_xlfn.XLOOKUP(Orders_table[[#This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_xlfn.IFS(J212="M","Midium",J212="L","Light",J212="D","Dark")</f>
        <v>Dark</v>
      </c>
      <c r="P212" t="str">
        <f>_xlfn.XLOOKUP(Orders_table[[#This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_xlfn.IFS(J213="M","Midium",J213="L","Light",J213="D","Dark")</f>
        <v>Light</v>
      </c>
      <c r="P213" t="str">
        <f>_xlfn.XLOOKUP(Orders_table[[#This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_xlfn.IFS(J214="M","Midium",J214="L","Light",J214="D","Dark")</f>
        <v>Dark</v>
      </c>
      <c r="P214" t="str">
        <f>_xlfn.XLOOKUP(Orders_table[[#This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_xlfn.IFS(J215="M","Midium",J215="L","Light",J215="D","Dark")</f>
        <v>Dark</v>
      </c>
      <c r="P215" t="str">
        <f>_xlfn.XLOOKUP(Orders_table[[#This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_xlfn.IFS(J216="M","Midium",J216="L","Light",J216="D","Dark")</f>
        <v>Light</v>
      </c>
      <c r="P216" t="str">
        <f>_xlfn.XLOOKUP(Orders_table[[#This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_xlfn.IFS(J217="M","Midium",J217="L","Light",J217="D","Dark")</f>
        <v>Dark</v>
      </c>
      <c r="P217" t="str">
        <f>_xlfn.XLOOKUP(Orders_table[[#This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_xlfn.IFS(J218="M","Midium",J218="L","Light",J218="D","Dark")</f>
        <v>Midium</v>
      </c>
      <c r="P218" t="str">
        <f>_xlfn.XLOOKUP(Orders_table[[#This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_xlfn.IFS(J219="M","Midium",J219="L","Light",J219="D","Dark")</f>
        <v>Light</v>
      </c>
      <c r="P219" t="str">
        <f>_xlfn.XLOOKUP(Orders_table[[#This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_xlfn.IFS(J220="M","Midium",J220="L","Light",J220="D","Dark")</f>
        <v>Midium</v>
      </c>
      <c r="P220" t="str">
        <f>_xlfn.XLOOKUP(Orders_table[[#This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_xlfn.IFS(J221="M","Midium",J221="L","Light",J221="D","Dark")</f>
        <v>Light</v>
      </c>
      <c r="P221" t="str">
        <f>_xlfn.XLOOKUP(Orders_table[[#This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_xlfn.IFS(J222="M","Midium",J222="L","Light",J222="D","Dark")</f>
        <v>Midium</v>
      </c>
      <c r="P222" t="str">
        <f>_xlfn.XLOOKUP(Orders_table[[#This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_xlfn.IFS(J223="M","Midium",J223="L","Light",J223="D","Dark")</f>
        <v>Light</v>
      </c>
      <c r="P223" t="str">
        <f>_xlfn.XLOOKUP(Orders_table[[#This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_xlfn.IFS(J224="M","Midium",J224="L","Light",J224="D","Dark")</f>
        <v>Dark</v>
      </c>
      <c r="P224" t="str">
        <f>_xlfn.XLOOKUP(Orders_table[[#This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_xlfn.IFS(J225="M","Midium",J225="L","Light",J225="D","Dark")</f>
        <v>Light</v>
      </c>
      <c r="P225" t="str">
        <f>_xlfn.XLOOKUP(Orders_table[[#This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_xlfn.IFS(J226="M","Midium",J226="L","Light",J226="D","Dark")</f>
        <v>Dark</v>
      </c>
      <c r="P226" t="str">
        <f>_xlfn.XLOOKUP(Orders_table[[#This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_xlfn.IFS(J227="M","Midium",J227="L","Light",J227="D","Dark")</f>
        <v>Light</v>
      </c>
      <c r="P227" t="str">
        <f>_xlfn.XLOOKUP(Orders_table[[#This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_xlfn.IFS(J228="M","Midium",J228="L","Light",J228="D","Dark")</f>
        <v>Midium</v>
      </c>
      <c r="P228" t="str">
        <f>_xlfn.XLOOKUP(Orders_table[[#This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_xlfn.IFS(J229="M","Midium",J229="L","Light",J229="D","Dark")</f>
        <v>Dark</v>
      </c>
      <c r="P229" t="str">
        <f>_xlfn.XLOOKUP(Orders_table[[#This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_xlfn.IFS(J230="M","Midium",J230="L","Light",J230="D","Dark")</f>
        <v>Light</v>
      </c>
      <c r="P230" t="str">
        <f>_xlfn.XLOOKUP(Orders_table[[#This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_xlfn.IFS(J231="M","Midium",J231="L","Light",J231="D","Dark")</f>
        <v>Midium</v>
      </c>
      <c r="P231" t="str">
        <f>_xlfn.XLOOKUP(Orders_table[[#This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_xlfn.IFS(J232="M","Midium",J232="L","Light",J232="D","Dark")</f>
        <v>Midium</v>
      </c>
      <c r="P232" t="str">
        <f>_xlfn.XLOOKUP(Orders_table[[#This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_xlfn.IFS(J233="M","Midium",J233="L","Light",J233="D","Dark")</f>
        <v>Midium</v>
      </c>
      <c r="P233" t="str">
        <f>_xlfn.XLOOKUP(Orders_table[[#This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_xlfn.IFS(J234="M","Midium",J234="L","Light",J234="D","Dark")</f>
        <v>Light</v>
      </c>
      <c r="P234" t="str">
        <f>_xlfn.XLOOKUP(Orders_table[[#This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_xlfn.IFS(J235="M","Midium",J235="L","Light",J235="D","Dark")</f>
        <v>Midium</v>
      </c>
      <c r="P235" t="str">
        <f>_xlfn.XLOOKUP(Orders_table[[#This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_xlfn.IFS(J236="M","Midium",J236="L","Light",J236="D","Dark")</f>
        <v>Light</v>
      </c>
      <c r="P236" t="str">
        <f>_xlfn.XLOOKUP(Orders_table[[#This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_xlfn.IFS(J237="M","Midium",J237="L","Light",J237="D","Dark")</f>
        <v>Light</v>
      </c>
      <c r="P237" t="str">
        <f>_xlfn.XLOOKUP(Orders_table[[#This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_xlfn.IFS(J238="M","Midium",J238="L","Light",J238="D","Dark")</f>
        <v>Dark</v>
      </c>
      <c r="P238" t="str">
        <f>_xlfn.XLOOKUP(Orders_table[[#This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_xlfn.IFS(J239="M","Midium",J239="L","Light",J239="D","Dark")</f>
        <v>Light</v>
      </c>
      <c r="P239" t="str">
        <f>_xlfn.XLOOKUP(Orders_table[[#This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_xlfn.IFS(J240="M","Midium",J240="L","Light",J240="D","Dark")</f>
        <v>Midium</v>
      </c>
      <c r="P240" t="str">
        <f>_xlfn.XLOOKUP(Orders_table[[#This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_xlfn.IFS(J241="M","Midium",J241="L","Light",J241="D","Dark")</f>
        <v>Light</v>
      </c>
      <c r="P241" t="str">
        <f>_xlfn.XLOOKUP(Orders_table[[#This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_xlfn.IFS(J242="M","Midium",J242="L","Light",J242="D","Dark")</f>
        <v>Midium</v>
      </c>
      <c r="P242" t="str">
        <f>_xlfn.XLOOKUP(Orders_table[[#This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_xlfn.IFS(J243="M","Midium",J243="L","Light",J243="D","Dark")</f>
        <v>Midium</v>
      </c>
      <c r="P243" t="str">
        <f>_xlfn.XLOOKUP(Orders_table[[#This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_xlfn.IFS(J244="M","Midium",J244="L","Light",J244="D","Dark")</f>
        <v>Dark</v>
      </c>
      <c r="P244" t="str">
        <f>_xlfn.XLOOKUP(Orders_table[[#This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_xlfn.IFS(J245="M","Midium",J245="L","Light",J245="D","Dark")</f>
        <v>Dark</v>
      </c>
      <c r="P245" t="str">
        <f>_xlfn.XLOOKUP(Orders_table[[#This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_xlfn.IFS(J246="M","Midium",J246="L","Light",J246="D","Dark")</f>
        <v>Midium</v>
      </c>
      <c r="P246" t="str">
        <f>_xlfn.XLOOKUP(Orders_table[[#This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_xlfn.IFS(J247="M","Midium",J247="L","Light",J247="D","Dark")</f>
        <v>Light</v>
      </c>
      <c r="P247" t="str">
        <f>_xlfn.XLOOKUP(Orders_table[[#This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_xlfn.IFS(J248="M","Midium",J248="L","Light",J248="D","Dark")</f>
        <v>Dark</v>
      </c>
      <c r="P248" t="str">
        <f>_xlfn.XLOOKUP(Orders_table[[#This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_xlfn.IFS(J249="M","Midium",J249="L","Light",J249="D","Dark")</f>
        <v>Light</v>
      </c>
      <c r="P249" t="str">
        <f>_xlfn.XLOOKUP(Orders_table[[#This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_xlfn.IFS(J250="M","Midium",J250="L","Light",J250="D","Dark")</f>
        <v>Dark</v>
      </c>
      <c r="P250" t="str">
        <f>_xlfn.XLOOKUP(Orders_table[[#This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_xlfn.IFS(J251="M","Midium",J251="L","Light",J251="D","Dark")</f>
        <v>Light</v>
      </c>
      <c r="P251" t="str">
        <f>_xlfn.XLOOKUP(Orders_table[[#This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_xlfn.IFS(J252="M","Midium",J252="L","Light",J252="D","Dark")</f>
        <v>Midium</v>
      </c>
      <c r="P252" t="str">
        <f>_xlfn.XLOOKUP(Orders_table[[#This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_xlfn.IFS(J253="M","Midium",J253="L","Light",J253="D","Dark")</f>
        <v>Midium</v>
      </c>
      <c r="P253" t="str">
        <f>_xlfn.XLOOKUP(Orders_table[[#This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_xlfn.IFS(J254="M","Midium",J254="L","Light",J254="D","Dark")</f>
        <v>Dark</v>
      </c>
      <c r="P254" t="str">
        <f>_xlfn.XLOOKUP(Orders_table[[#This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_xlfn.IFS(J255="M","Midium",J255="L","Light",J255="D","Dark")</f>
        <v>Midium</v>
      </c>
      <c r="P255" t="str">
        <f>_xlfn.XLOOKUP(Orders_table[[#This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_xlfn.IFS(J256="M","Midium",J256="L","Light",J256="D","Dark")</f>
        <v>Light</v>
      </c>
      <c r="P256" t="str">
        <f>_xlfn.XLOOKUP(Orders_table[[#This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_xlfn.IFS(J257="M","Midium",J257="L","Light",J257="D","Dark")</f>
        <v>Light</v>
      </c>
      <c r="P257" t="str">
        <f>_xlfn.XLOOKUP(Orders_table[[#This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_xlfn.IFS(J258="M","Midium",J258="L","Light",J258="D","Dark")</f>
        <v>Midium</v>
      </c>
      <c r="P258" t="str">
        <f>_xlfn.XLOOKUP(Orders_table[[#This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_xlfn.IFS(J259="M","Midium",J259="L","Light",J259="D","Dark")</f>
        <v>Dark</v>
      </c>
      <c r="P259" t="str">
        <f>_xlfn.XLOOKUP(Orders_table[[#This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_xlfn.IFS(J260="M","Midium",J260="L","Light",J260="D","Dark")</f>
        <v>Dark</v>
      </c>
      <c r="P260" t="str">
        <f>_xlfn.XLOOKUP(Orders_table[[#This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_xlfn.IFS(J261="M","Midium",J261="L","Light",J261="D","Dark")</f>
        <v>Midium</v>
      </c>
      <c r="P261" t="str">
        <f>_xlfn.XLOOKUP(Orders_table[[#This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_xlfn.IFS(J262="M","Midium",J262="L","Light",J262="D","Dark")</f>
        <v>Light</v>
      </c>
      <c r="P262" t="str">
        <f>_xlfn.XLOOKUP(Orders_table[[#This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_xlfn.IFS(J263="M","Midium",J263="L","Light",J263="D","Dark")</f>
        <v>Light</v>
      </c>
      <c r="P263" t="str">
        <f>_xlfn.XLOOKUP(Orders_table[[#This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_xlfn.IFS(J264="M","Midium",J264="L","Light",J264="D","Dark")</f>
        <v>Midium</v>
      </c>
      <c r="P264" t="str">
        <f>_xlfn.XLOOKUP(Orders_table[[#This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_xlfn.IFS(J265="M","Midium",J265="L","Light",J265="D","Dark")</f>
        <v>Midium</v>
      </c>
      <c r="P265" t="str">
        <f>_xlfn.XLOOKUP(Orders_table[[#This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_xlfn.IFS(J266="M","Midium",J266="L","Light",J266="D","Dark")</f>
        <v>Light</v>
      </c>
      <c r="P266" t="str">
        <f>_xlfn.XLOOKUP(Orders_table[[#This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_xlfn.IFS(J267="M","Midium",J267="L","Light",J267="D","Dark")</f>
        <v>Dark</v>
      </c>
      <c r="P267" t="str">
        <f>_xlfn.XLOOKUP(Orders_table[[#This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_xlfn.IFS(J268="M","Midium",J268="L","Light",J268="D","Dark")</f>
        <v>Dark</v>
      </c>
      <c r="P268" t="str">
        <f>_xlfn.XLOOKUP(Orders_table[[#This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_xlfn.IFS(J269="M","Midium",J269="L","Light",J269="D","Dark")</f>
        <v>Dark</v>
      </c>
      <c r="P269" t="str">
        <f>_xlfn.XLOOKUP(Orders_table[[#This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_xlfn.IFS(J270="M","Midium",J270="L","Light",J270="D","Dark")</f>
        <v>Dark</v>
      </c>
      <c r="P270" t="str">
        <f>_xlfn.XLOOKUP(Orders_table[[#This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_xlfn.IFS(J271="M","Midium",J271="L","Light",J271="D","Dark")</f>
        <v>Dark</v>
      </c>
      <c r="P271" t="str">
        <f>_xlfn.XLOOKUP(Orders_table[[#This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_xlfn.IFS(J272="M","Midium",J272="L","Light",J272="D","Dark")</f>
        <v>Dark</v>
      </c>
      <c r="P272" t="str">
        <f>_xlfn.XLOOKUP(Orders_table[[#This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_xlfn.IFS(J273="M","Midium",J273="L","Light",J273="D","Dark")</f>
        <v>Dark</v>
      </c>
      <c r="P273" t="str">
        <f>_xlfn.XLOOKUP(Orders_table[[#This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_xlfn.IFS(J274="M","Midium",J274="L","Light",J274="D","Dark")</f>
        <v>Light</v>
      </c>
      <c r="P274" t="str">
        <f>_xlfn.XLOOKUP(Orders_table[[#This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_xlfn.IFS(J275="M","Midium",J275="L","Light",J275="D","Dark")</f>
        <v>Light</v>
      </c>
      <c r="P275" t="str">
        <f>_xlfn.XLOOKUP(Orders_table[[#This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_xlfn.IFS(J276="M","Midium",J276="L","Light",J276="D","Dark")</f>
        <v>Midium</v>
      </c>
      <c r="P276" t="str">
        <f>_xlfn.XLOOKUP(Orders_table[[#This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_xlfn.IFS(J277="M","Midium",J277="L","Light",J277="D","Dark")</f>
        <v>Light</v>
      </c>
      <c r="P277" t="str">
        <f>_xlfn.XLOOKUP(Orders_table[[#This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_xlfn.IFS(J278="M","Midium",J278="L","Light",J278="D","Dark")</f>
        <v>Light</v>
      </c>
      <c r="P278" t="str">
        <f>_xlfn.XLOOKUP(Orders_table[[#This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_xlfn.IFS(J279="M","Midium",J279="L","Light",J279="D","Dark")</f>
        <v>Light</v>
      </c>
      <c r="P279" t="str">
        <f>_xlfn.XLOOKUP(Orders_table[[#This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_xlfn.IFS(J280="M","Midium",J280="L","Light",J280="D","Dark")</f>
        <v>Light</v>
      </c>
      <c r="P280" t="str">
        <f>_xlfn.XLOOKUP(Orders_table[[#This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_xlfn.IFS(J281="M","Midium",J281="L","Light",J281="D","Dark")</f>
        <v>Midium</v>
      </c>
      <c r="P281" t="str">
        <f>_xlfn.XLOOKUP(Orders_table[[#This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_xlfn.IFS(J282="M","Midium",J282="L","Light",J282="D","Dark")</f>
        <v>Midium</v>
      </c>
      <c r="P282" t="str">
        <f>_xlfn.XLOOKUP(Orders_table[[#This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_xlfn.IFS(J283="M","Midium",J283="L","Light",J283="D","Dark")</f>
        <v>Light</v>
      </c>
      <c r="P283" t="str">
        <f>_xlfn.XLOOKUP(Orders_table[[#This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_xlfn.IFS(J284="M","Midium",J284="L","Light",J284="D","Dark")</f>
        <v>Light</v>
      </c>
      <c r="P284" t="str">
        <f>_xlfn.XLOOKUP(Orders_table[[#This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_xlfn.IFS(J285="M","Midium",J285="L","Light",J285="D","Dark")</f>
        <v>Dark</v>
      </c>
      <c r="P285" t="str">
        <f>_xlfn.XLOOKUP(Orders_table[[#This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_xlfn.IFS(J286="M","Midium",J286="L","Light",J286="D","Dark")</f>
        <v>Midium</v>
      </c>
      <c r="P286" t="str">
        <f>_xlfn.XLOOKUP(Orders_table[[#This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_xlfn.IFS(J287="M","Midium",J287="L","Light",J287="D","Dark")</f>
        <v>Light</v>
      </c>
      <c r="P287" t="str">
        <f>_xlfn.XLOOKUP(Orders_table[[#This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_xlfn.IFS(J288="M","Midium",J288="L","Light",J288="D","Dark")</f>
        <v>Midium</v>
      </c>
      <c r="P288" t="str">
        <f>_xlfn.XLOOKUP(Orders_table[[#This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_xlfn.IFS(J289="M","Midium",J289="L","Light",J289="D","Dark")</f>
        <v>Light</v>
      </c>
      <c r="P289" t="str">
        <f>_xlfn.XLOOKUP(Orders_table[[#This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_xlfn.IFS(J290="M","Midium",J290="L","Light",J290="D","Dark")</f>
        <v>Midium</v>
      </c>
      <c r="P290" t="str">
        <f>_xlfn.XLOOKUP(Orders_table[[#This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_xlfn.IFS(J291="M","Midium",J291="L","Light",J291="D","Dark")</f>
        <v>Dark</v>
      </c>
      <c r="P291" t="str">
        <f>_xlfn.XLOOKUP(Orders_table[[#This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_xlfn.IFS(J292="M","Midium",J292="L","Light",J292="D","Dark")</f>
        <v>Dark</v>
      </c>
      <c r="P292" t="str">
        <f>_xlfn.XLOOKUP(Orders_table[[#This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_xlfn.IFS(J293="M","Midium",J293="L","Light",J293="D","Dark")</f>
        <v>Midium</v>
      </c>
      <c r="P293" t="str">
        <f>_xlfn.XLOOKUP(Orders_table[[#This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_xlfn.IFS(J294="M","Midium",J294="L","Light",J294="D","Dark")</f>
        <v>Dark</v>
      </c>
      <c r="P294" t="str">
        <f>_xlfn.XLOOKUP(Orders_table[[#This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_xlfn.IFS(J295="M","Midium",J295="L","Light",J295="D","Dark")</f>
        <v>Dark</v>
      </c>
      <c r="P295" t="str">
        <f>_xlfn.XLOOKUP(Orders_table[[#This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_xlfn.IFS(J296="M","Midium",J296="L","Light",J296="D","Dark")</f>
        <v>Light</v>
      </c>
      <c r="P296" t="str">
        <f>_xlfn.XLOOKUP(Orders_table[[#This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_xlfn.IFS(J297="M","Midium",J297="L","Light",J297="D","Dark")</f>
        <v>Midium</v>
      </c>
      <c r="P297" t="str">
        <f>_xlfn.XLOOKUP(Orders_table[[#This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_xlfn.IFS(J298="M","Midium",J298="L","Light",J298="D","Dark")</f>
        <v>Midium</v>
      </c>
      <c r="P298" t="str">
        <f>_xlfn.XLOOKUP(Orders_table[[#This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_xlfn.IFS(J299="M","Midium",J299="L","Light",J299="D","Dark")</f>
        <v>Dark</v>
      </c>
      <c r="P299" t="str">
        <f>_xlfn.XLOOKUP(Orders_table[[#This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_xlfn.IFS(J300="M","Midium",J300="L","Light",J300="D","Dark")</f>
        <v>Light</v>
      </c>
      <c r="P300" t="str">
        <f>_xlfn.XLOOKUP(Orders_table[[#This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_xlfn.IFS(J301="M","Midium",J301="L","Light",J301="D","Dark")</f>
        <v>Light</v>
      </c>
      <c r="P301" t="str">
        <f>_xlfn.XLOOKUP(Orders_table[[#This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_xlfn.IFS(J302="M","Midium",J302="L","Light",J302="D","Dark")</f>
        <v>Light</v>
      </c>
      <c r="P302" t="str">
        <f>_xlfn.XLOOKUP(Orders_table[[#This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_xlfn.IFS(J303="M","Midium",J303="L","Light",J303="D","Dark")</f>
        <v>Dark</v>
      </c>
      <c r="P303" t="str">
        <f>_xlfn.XLOOKUP(Orders_table[[#This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_xlfn.IFS(J304="M","Midium",J304="L","Light",J304="D","Dark")</f>
        <v>Midium</v>
      </c>
      <c r="P304" t="str">
        <f>_xlfn.XLOOKUP(Orders_table[[#This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_xlfn.IFS(J305="M","Midium",J305="L","Light",J305="D","Dark")</f>
        <v>Dark</v>
      </c>
      <c r="P305" t="str">
        <f>_xlfn.XLOOKUP(Orders_table[[#This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_xlfn.IFS(J306="M","Midium",J306="L","Light",J306="D","Dark")</f>
        <v>Light</v>
      </c>
      <c r="P306" t="str">
        <f>_xlfn.XLOOKUP(Orders_table[[#This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_xlfn.IFS(J307="M","Midium",J307="L","Light",J307="D","Dark")</f>
        <v>Midium</v>
      </c>
      <c r="P307" t="str">
        <f>_xlfn.XLOOKUP(Orders_table[[#This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_xlfn.IFS(J308="M","Midium",J308="L","Light",J308="D","Dark")</f>
        <v>Midium</v>
      </c>
      <c r="P308" t="str">
        <f>_xlfn.XLOOKUP(Orders_table[[#This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_xlfn.IFS(J309="M","Midium",J309="L","Light",J309="D","Dark")</f>
        <v>Midium</v>
      </c>
      <c r="P309" t="str">
        <f>_xlfn.XLOOKUP(Orders_table[[#This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_xlfn.IFS(J310="M","Midium",J310="L","Light",J310="D","Dark")</f>
        <v>Midium</v>
      </c>
      <c r="P310" t="str">
        <f>_xlfn.XLOOKUP(Orders_table[[#This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_xlfn.IFS(J311="M","Midium",J311="L","Light",J311="D","Dark")</f>
        <v>Midium</v>
      </c>
      <c r="P311" t="str">
        <f>_xlfn.XLOOKUP(Orders_table[[#This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_xlfn.IFS(J312="M","Midium",J312="L","Light",J312="D","Dark")</f>
        <v>Light</v>
      </c>
      <c r="P312" t="str">
        <f>_xlfn.XLOOKUP(Orders_table[[#This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_xlfn.IFS(J313="M","Midium",J313="L","Light",J313="D","Dark")</f>
        <v>Midium</v>
      </c>
      <c r="P313" t="str">
        <f>_xlfn.XLOOKUP(Orders_table[[#This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_xlfn.IFS(J314="M","Midium",J314="L","Light",J314="D","Dark")</f>
        <v>Midium</v>
      </c>
      <c r="P314" t="str">
        <f>_xlfn.XLOOKUP(Orders_table[[#This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_xlfn.IFS(J315="M","Midium",J315="L","Light",J315="D","Dark")</f>
        <v>Midium</v>
      </c>
      <c r="P315" t="str">
        <f>_xlfn.XLOOKUP(Orders_table[[#This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_xlfn.IFS(J316="M","Midium",J316="L","Light",J316="D","Dark")</f>
        <v>Dark</v>
      </c>
      <c r="P316" t="str">
        <f>_xlfn.XLOOKUP(Orders_table[[#This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_xlfn.IFS(J317="M","Midium",J317="L","Light",J317="D","Dark")</f>
        <v>Light</v>
      </c>
      <c r="P317" t="str">
        <f>_xlfn.XLOOKUP(Orders_table[[#This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_xlfn.IFS(J318="M","Midium",J318="L","Light",J318="D","Dark")</f>
        <v>Light</v>
      </c>
      <c r="P318" t="str">
        <f>_xlfn.XLOOKUP(Orders_table[[#This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_xlfn.IFS(J319="M","Midium",J319="L","Light",J319="D","Dark")</f>
        <v>Dark</v>
      </c>
      <c r="P319" t="str">
        <f>_xlfn.XLOOKUP(Orders_table[[#This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_xlfn.IFS(J320="M","Midium",J320="L","Light",J320="D","Dark")</f>
        <v>Midium</v>
      </c>
      <c r="P320" t="str">
        <f>_xlfn.XLOOKUP(Orders_table[[#This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_xlfn.IFS(J321="M","Midium",J321="L","Light",J321="D","Dark")</f>
        <v>Midium</v>
      </c>
      <c r="P321" t="str">
        <f>_xlfn.XLOOKUP(Orders_table[[#This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_xlfn.IFS(J322="M","Midium",J322="L","Light",J322="D","Dark")</f>
        <v>Light</v>
      </c>
      <c r="P322" t="str">
        <f>_xlfn.XLOOKUP(Orders_table[[#This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_xlfn.IFS(J323="M","Midium",J323="L","Light",J323="D","Dark")</f>
        <v>Midium</v>
      </c>
      <c r="P323" t="str">
        <f>_xlfn.XLOOKUP(Orders_table[[#This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_xlfn.IFS(J324="M","Midium",J324="L","Light",J324="D","Dark")</f>
        <v>Dark</v>
      </c>
      <c r="P324" t="str">
        <f>_xlfn.XLOOKUP(Orders_table[[#This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_xlfn.IFS(J325="M","Midium",J325="L","Light",J325="D","Dark")</f>
        <v>Dark</v>
      </c>
      <c r="P325" t="str">
        <f>_xlfn.XLOOKUP(Orders_table[[#This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_xlfn.IFS(J326="M","Midium",J326="L","Light",J326="D","Dark")</f>
        <v>Midium</v>
      </c>
      <c r="P326" t="str">
        <f>_xlfn.XLOOKUP(Orders_table[[#This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_xlfn.IFS(J327="M","Midium",J327="L","Light",J327="D","Dark")</f>
        <v>Light</v>
      </c>
      <c r="P327" t="str">
        <f>_xlfn.XLOOKUP(Orders_table[[#This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_xlfn.IFS(J328="M","Midium",J328="L","Light",J328="D","Dark")</f>
        <v>Dark</v>
      </c>
      <c r="P328" t="str">
        <f>_xlfn.XLOOKUP(Orders_table[[#This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_xlfn.IFS(J329="M","Midium",J329="L","Light",J329="D","Dark")</f>
        <v>Dark</v>
      </c>
      <c r="P329" t="str">
        <f>_xlfn.XLOOKUP(Orders_table[[#This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_xlfn.IFS(J330="M","Midium",J330="L","Light",J330="D","Dark")</f>
        <v>Light</v>
      </c>
      <c r="P330" t="str">
        <f>_xlfn.XLOOKUP(Orders_table[[#This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_xlfn.IFS(J331="M","Midium",J331="L","Light",J331="D","Dark")</f>
        <v>Dark</v>
      </c>
      <c r="P331" t="str">
        <f>_xlfn.XLOOKUP(Orders_table[[#This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_xlfn.IFS(J332="M","Midium",J332="L","Light",J332="D","Dark")</f>
        <v>Dark</v>
      </c>
      <c r="P332" t="str">
        <f>_xlfn.XLOOKUP(Orders_table[[#This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_xlfn.IFS(J333="M","Midium",J333="L","Light",J333="D","Dark")</f>
        <v>Midium</v>
      </c>
      <c r="P333" t="str">
        <f>_xlfn.XLOOKUP(Orders_table[[#This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_xlfn.IFS(J334="M","Midium",J334="L","Light",J334="D","Dark")</f>
        <v>Dark</v>
      </c>
      <c r="P334" t="str">
        <f>_xlfn.XLOOKUP(Orders_table[[#This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_xlfn.IFS(J335="M","Midium",J335="L","Light",J335="D","Dark")</f>
        <v>Midium</v>
      </c>
      <c r="P335" t="str">
        <f>_xlfn.XLOOKUP(Orders_table[[#This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_xlfn.IFS(J336="M","Midium",J336="L","Light",J336="D","Dark")</f>
        <v>Light</v>
      </c>
      <c r="P336" t="str">
        <f>_xlfn.XLOOKUP(Orders_table[[#This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_xlfn.IFS(J337="M","Midium",J337="L","Light",J337="D","Dark")</f>
        <v>Light</v>
      </c>
      <c r="P337" t="str">
        <f>_xlfn.XLOOKUP(Orders_table[[#This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_xlfn.IFS(J338="M","Midium",J338="L","Light",J338="D","Dark")</f>
        <v>Midium</v>
      </c>
      <c r="P338" t="str">
        <f>_xlfn.XLOOKUP(Orders_table[[#This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_xlfn.IFS(J339="M","Midium",J339="L","Light",J339="D","Dark")</f>
        <v>Dark</v>
      </c>
      <c r="P339" t="str">
        <f>_xlfn.XLOOKUP(Orders_table[[#This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_xlfn.IFS(J340="M","Midium",J340="L","Light",J340="D","Dark")</f>
        <v>Light</v>
      </c>
      <c r="P340" t="str">
        <f>_xlfn.XLOOKUP(Orders_table[[#This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_xlfn.IFS(J341="M","Midium",J341="L","Light",J341="D","Dark")</f>
        <v>Dark</v>
      </c>
      <c r="P341" t="str">
        <f>_xlfn.XLOOKUP(Orders_table[[#This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_xlfn.IFS(J342="M","Midium",J342="L","Light",J342="D","Dark")</f>
        <v>Dark</v>
      </c>
      <c r="P342" t="str">
        <f>_xlfn.XLOOKUP(Orders_table[[#This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_xlfn.IFS(J343="M","Midium",J343="L","Light",J343="D","Dark")</f>
        <v>Light</v>
      </c>
      <c r="P343" t="str">
        <f>_xlfn.XLOOKUP(Orders_table[[#This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_xlfn.IFS(J344="M","Midium",J344="L","Light",J344="D","Dark")</f>
        <v>Dark</v>
      </c>
      <c r="P344" t="str">
        <f>_xlfn.XLOOKUP(Orders_table[[#This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_xlfn.IFS(J345="M","Midium",J345="L","Light",J345="D","Dark")</f>
        <v>Dark</v>
      </c>
      <c r="P345" t="str">
        <f>_xlfn.XLOOKUP(Orders_table[[#This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_xlfn.IFS(J346="M","Midium",J346="L","Light",J346="D","Dark")</f>
        <v>Midium</v>
      </c>
      <c r="P346" t="str">
        <f>_xlfn.XLOOKUP(Orders_table[[#This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_xlfn.IFS(J347="M","Midium",J347="L","Light",J347="D","Dark")</f>
        <v>Light</v>
      </c>
      <c r="P347" t="str">
        <f>_xlfn.XLOOKUP(Orders_table[[#This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_xlfn.IFS(J348="M","Midium",J348="L","Light",J348="D","Dark")</f>
        <v>Light</v>
      </c>
      <c r="P348" t="str">
        <f>_xlfn.XLOOKUP(Orders_table[[#This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_xlfn.IFS(J349="M","Midium",J349="L","Light",J349="D","Dark")</f>
        <v>Midium</v>
      </c>
      <c r="P349" t="str">
        <f>_xlfn.XLOOKUP(Orders_table[[#This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_xlfn.IFS(J350="M","Midium",J350="L","Light",J350="D","Dark")</f>
        <v>Light</v>
      </c>
      <c r="P350" t="str">
        <f>_xlfn.XLOOKUP(Orders_table[[#This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_xlfn.IFS(J351="M","Midium",J351="L","Light",J351="D","Dark")</f>
        <v>Light</v>
      </c>
      <c r="P351" t="str">
        <f>_xlfn.XLOOKUP(Orders_table[[#This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_xlfn.IFS(J352="M","Midium",J352="L","Light",J352="D","Dark")</f>
        <v>Dark</v>
      </c>
      <c r="P352" t="str">
        <f>_xlfn.XLOOKUP(Orders_table[[#This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_xlfn.IFS(J353="M","Midium",J353="L","Light",J353="D","Dark")</f>
        <v>Midium</v>
      </c>
      <c r="P353" t="str">
        <f>_xlfn.XLOOKUP(Orders_table[[#This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_xlfn.IFS(J354="M","Midium",J354="L","Light",J354="D","Dark")</f>
        <v>Dark</v>
      </c>
      <c r="P354" t="str">
        <f>_xlfn.XLOOKUP(Orders_table[[#This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_xlfn.IFS(J355="M","Midium",J355="L","Light",J355="D","Dark")</f>
        <v>Midium</v>
      </c>
      <c r="P355" t="str">
        <f>_xlfn.XLOOKUP(Orders_table[[#This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_xlfn.IFS(J356="M","Midium",J356="L","Light",J356="D","Dark")</f>
        <v>Midium</v>
      </c>
      <c r="P356" t="str">
        <f>_xlfn.XLOOKUP(Orders_table[[#This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_xlfn.IFS(J357="M","Midium",J357="L","Light",J357="D","Dark")</f>
        <v>Dark</v>
      </c>
      <c r="P357" t="str">
        <f>_xlfn.XLOOKUP(Orders_table[[#This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_xlfn.IFS(J358="M","Midium",J358="L","Light",J358="D","Dark")</f>
        <v>Dark</v>
      </c>
      <c r="P358" t="str">
        <f>_xlfn.XLOOKUP(Orders_table[[#This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_xlfn.IFS(J359="M","Midium",J359="L","Light",J359="D","Dark")</f>
        <v>Midium</v>
      </c>
      <c r="P359" t="str">
        <f>_xlfn.XLOOKUP(Orders_table[[#This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_xlfn.IFS(J360="M","Midium",J360="L","Light",J360="D","Dark")</f>
        <v>Light</v>
      </c>
      <c r="P360" t="str">
        <f>_xlfn.XLOOKUP(Orders_table[[#This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_xlfn.IFS(J361="M","Midium",J361="L","Light",J361="D","Dark")</f>
        <v>Light</v>
      </c>
      <c r="P361" t="str">
        <f>_xlfn.XLOOKUP(Orders_table[[#This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_xlfn.IFS(J362="M","Midium",J362="L","Light",J362="D","Dark")</f>
        <v>Dark</v>
      </c>
      <c r="P362" t="str">
        <f>_xlfn.XLOOKUP(Orders_table[[#This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_xlfn.IFS(J363="M","Midium",J363="L","Light",J363="D","Dark")</f>
        <v>Midium</v>
      </c>
      <c r="P363" t="str">
        <f>_xlfn.XLOOKUP(Orders_table[[#This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_xlfn.IFS(J364="M","Midium",J364="L","Light",J364="D","Dark")</f>
        <v>Light</v>
      </c>
      <c r="P364" t="str">
        <f>_xlfn.XLOOKUP(Orders_table[[#This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_xlfn.IFS(J365="M","Midium",J365="L","Light",J365="D","Dark")</f>
        <v>Midium</v>
      </c>
      <c r="P365" t="str">
        <f>_xlfn.XLOOKUP(Orders_table[[#This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_xlfn.IFS(J366="M","Midium",J366="L","Light",J366="D","Dark")</f>
        <v>Dark</v>
      </c>
      <c r="P366" t="str">
        <f>_xlfn.XLOOKUP(Orders_table[[#This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_xlfn.IFS(J367="M","Midium",J367="L","Light",J367="D","Dark")</f>
        <v>Dark</v>
      </c>
      <c r="P367" t="str">
        <f>_xlfn.XLOOKUP(Orders_table[[#This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_xlfn.IFS(J368="M","Midium",J368="L","Light",J368="D","Dark")</f>
        <v>Dark</v>
      </c>
      <c r="P368" t="str">
        <f>_xlfn.XLOOKUP(Orders_table[[#This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_xlfn.IFS(J369="M","Midium",J369="L","Light",J369="D","Dark")</f>
        <v>Midium</v>
      </c>
      <c r="P369" t="str">
        <f>_xlfn.XLOOKUP(Orders_table[[#This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_xlfn.IFS(J370="M","Midium",J370="L","Light",J370="D","Dark")</f>
        <v>Midium</v>
      </c>
      <c r="P370" t="str">
        <f>_xlfn.XLOOKUP(Orders_table[[#This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_xlfn.IFS(J371="M","Midium",J371="L","Light",J371="D","Dark")</f>
        <v>Light</v>
      </c>
      <c r="P371" t="str">
        <f>_xlfn.XLOOKUP(Orders_table[[#This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_xlfn.IFS(J372="M","Midium",J372="L","Light",J372="D","Dark")</f>
        <v>Dark</v>
      </c>
      <c r="P372" t="str">
        <f>_xlfn.XLOOKUP(Orders_table[[#This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_xlfn.IFS(J373="M","Midium",J373="L","Light",J373="D","Dark")</f>
        <v>Light</v>
      </c>
      <c r="P373" t="str">
        <f>_xlfn.XLOOKUP(Orders_table[[#This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_xlfn.IFS(J374="M","Midium",J374="L","Light",J374="D","Dark")</f>
        <v>Light</v>
      </c>
      <c r="P374" t="str">
        <f>_xlfn.XLOOKUP(Orders_table[[#This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_xlfn.IFS(J375="M","Midium",J375="L","Light",J375="D","Dark")</f>
        <v>Dark</v>
      </c>
      <c r="P375" t="str">
        <f>_xlfn.XLOOKUP(Orders_table[[#This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_xlfn.IFS(J376="M","Midium",J376="L","Light",J376="D","Dark")</f>
        <v>Light</v>
      </c>
      <c r="P376" t="str">
        <f>_xlfn.XLOOKUP(Orders_table[[#This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_xlfn.IFS(J377="M","Midium",J377="L","Light",J377="D","Dark")</f>
        <v>Midium</v>
      </c>
      <c r="P377" t="str">
        <f>_xlfn.XLOOKUP(Orders_table[[#This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_xlfn.IFS(J378="M","Midium",J378="L","Light",J378="D","Dark")</f>
        <v>Midium</v>
      </c>
      <c r="P378" t="str">
        <f>_xlfn.XLOOKUP(Orders_table[[#This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_xlfn.IFS(J379="M","Midium",J379="L","Light",J379="D","Dark")</f>
        <v>Dark</v>
      </c>
      <c r="P379" t="str">
        <f>_xlfn.XLOOKUP(Orders_table[[#This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_xlfn.IFS(J380="M","Midium",J380="L","Light",J380="D","Dark")</f>
        <v>Light</v>
      </c>
      <c r="P380" t="str">
        <f>_xlfn.XLOOKUP(Orders_table[[#This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_xlfn.IFS(J381="M","Midium",J381="L","Light",J381="D","Dark")</f>
        <v>Light</v>
      </c>
      <c r="P381" t="str">
        <f>_xlfn.XLOOKUP(Orders_table[[#This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_xlfn.IFS(J382="M","Midium",J382="L","Light",J382="D","Dark")</f>
        <v>Dark</v>
      </c>
      <c r="P382" t="str">
        <f>_xlfn.XLOOKUP(Orders_table[[#This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_xlfn.IFS(J383="M","Midium",J383="L","Light",J383="D","Dark")</f>
        <v>Dark</v>
      </c>
      <c r="P383" t="str">
        <f>_xlfn.XLOOKUP(Orders_table[[#This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_xlfn.IFS(J384="M","Midium",J384="L","Light",J384="D","Dark")</f>
        <v>Dark</v>
      </c>
      <c r="P384" t="str">
        <f>_xlfn.XLOOKUP(Orders_table[[#This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_xlfn.IFS(J385="M","Midium",J385="L","Light",J385="D","Dark")</f>
        <v>Light</v>
      </c>
      <c r="P385" t="str">
        <f>_xlfn.XLOOKUP(Orders_table[[#This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_xlfn.IFS(J386="M","Midium",J386="L","Light",J386="D","Dark")</f>
        <v>Light</v>
      </c>
      <c r="P386" t="str">
        <f>_xlfn.XLOOKUP(Orders_table[[#This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_xlfn.IFS(J387="M","Midium",J387="L","Light",J387="D","Dark")</f>
        <v>Midium</v>
      </c>
      <c r="P387" t="str">
        <f>_xlfn.XLOOKUP(Orders_table[[#This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_xlfn.IFS(J388="M","Midium",J388="L","Light",J388="D","Dark")</f>
        <v>Dark</v>
      </c>
      <c r="P388" t="str">
        <f>_xlfn.XLOOKUP(Orders_table[[#This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_xlfn.IFS(J389="M","Midium",J389="L","Light",J389="D","Dark")</f>
        <v>Light</v>
      </c>
      <c r="P389" t="str">
        <f>_xlfn.XLOOKUP(Orders_table[[#This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_xlfn.IFS(J390="M","Midium",J390="L","Light",J390="D","Dark")</f>
        <v>Dark</v>
      </c>
      <c r="P390" t="str">
        <f>_xlfn.XLOOKUP(Orders_table[[#This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_xlfn.IFS(J391="M","Midium",J391="L","Light",J391="D","Dark")</f>
        <v>Dark</v>
      </c>
      <c r="P391" t="str">
        <f>_xlfn.XLOOKUP(Orders_table[[#This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_xlfn.IFS(J392="M","Midium",J392="L","Light",J392="D","Dark")</f>
        <v>Dark</v>
      </c>
      <c r="P392" t="str">
        <f>_xlfn.XLOOKUP(Orders_table[[#This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_xlfn.IFS(J393="M","Midium",J393="L","Light",J393="D","Dark")</f>
        <v>Midium</v>
      </c>
      <c r="P393" t="str">
        <f>_xlfn.XLOOKUP(Orders_table[[#This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_xlfn.IFS(J394="M","Midium",J394="L","Light",J394="D","Dark")</f>
        <v>Light</v>
      </c>
      <c r="P394" t="str">
        <f>_xlfn.XLOOKUP(Orders_table[[#This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_xlfn.IFS(J395="M","Midium",J395="L","Light",J395="D","Dark")</f>
        <v>Light</v>
      </c>
      <c r="P395" t="str">
        <f>_xlfn.XLOOKUP(Orders_table[[#This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_xlfn.IFS(J396="M","Midium",J396="L","Light",J396="D","Dark")</f>
        <v>Light</v>
      </c>
      <c r="P396" t="str">
        <f>_xlfn.XLOOKUP(Orders_table[[#This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_xlfn.IFS(J397="M","Midium",J397="L","Light",J397="D","Dark")</f>
        <v>Dark</v>
      </c>
      <c r="P397" t="str">
        <f>_xlfn.XLOOKUP(Orders_table[[#This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_xlfn.IFS(J398="M","Midium",J398="L","Light",J398="D","Dark")</f>
        <v>Light</v>
      </c>
      <c r="P398" t="str">
        <f>_xlfn.XLOOKUP(Orders_table[[#This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_xlfn.IFS(J399="M","Midium",J399="L","Light",J399="D","Dark")</f>
        <v>Dark</v>
      </c>
      <c r="P399" t="str">
        <f>_xlfn.XLOOKUP(Orders_table[[#This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_xlfn.IFS(J400="M","Midium",J400="L","Light",J400="D","Dark")</f>
        <v>Dark</v>
      </c>
      <c r="P400" t="str">
        <f>_xlfn.XLOOKUP(Orders_table[[#This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_xlfn.IFS(J401="M","Midium",J401="L","Light",J401="D","Dark")</f>
        <v>Dark</v>
      </c>
      <c r="P401" t="str">
        <f>_xlfn.XLOOKUP(Orders_table[[#This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_xlfn.IFS(J402="M","Midium",J402="L","Light",J402="D","Dark")</f>
        <v>Light</v>
      </c>
      <c r="P402" t="str">
        <f>_xlfn.XLOOKUP(Orders_table[[#This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_xlfn.IFS(J403="M","Midium",J403="L","Light",J403="D","Dark")</f>
        <v>Midium</v>
      </c>
      <c r="P403" t="str">
        <f>_xlfn.XLOOKUP(Orders_table[[#This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_xlfn.IFS(J404="M","Midium",J404="L","Light",J404="D","Dark")</f>
        <v>Dark</v>
      </c>
      <c r="P404" t="str">
        <f>_xlfn.XLOOKUP(Orders_table[[#This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_xlfn.IFS(J405="M","Midium",J405="L","Light",J405="D","Dark")</f>
        <v>Light</v>
      </c>
      <c r="P405" t="str">
        <f>_xlfn.XLOOKUP(Orders_table[[#This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_xlfn.IFS(J406="M","Midium",J406="L","Light",J406="D","Dark")</f>
        <v>Dark</v>
      </c>
      <c r="P406" t="str">
        <f>_xlfn.XLOOKUP(Orders_table[[#This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_xlfn.IFS(J407="M","Midium",J407="L","Light",J407="D","Dark")</f>
        <v>Midium</v>
      </c>
      <c r="P407" t="str">
        <f>_xlfn.XLOOKUP(Orders_table[[#This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_xlfn.IFS(J408="M","Midium",J408="L","Light",J408="D","Dark")</f>
        <v>Midium</v>
      </c>
      <c r="P408" t="str">
        <f>_xlfn.XLOOKUP(Orders_table[[#This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_xlfn.IFS(J409="M","Midium",J409="L","Light",J409="D","Dark")</f>
        <v>Midium</v>
      </c>
      <c r="P409" t="str">
        <f>_xlfn.XLOOKUP(Orders_table[[#This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_xlfn.IFS(J410="M","Midium",J410="L","Light",J410="D","Dark")</f>
        <v>Midium</v>
      </c>
      <c r="P410" t="str">
        <f>_xlfn.XLOOKUP(Orders_table[[#This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_xlfn.IFS(J411="M","Midium",J411="L","Light",J411="D","Dark")</f>
        <v>Light</v>
      </c>
      <c r="P411" t="str">
        <f>_xlfn.XLOOKUP(Orders_table[[#This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_xlfn.IFS(J412="M","Midium",J412="L","Light",J412="D","Dark")</f>
        <v>Light</v>
      </c>
      <c r="P412" t="str">
        <f>_xlfn.XLOOKUP(Orders_table[[#This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_xlfn.IFS(J413="M","Midium",J413="L","Light",J413="D","Dark")</f>
        <v>Midium</v>
      </c>
      <c r="P413" t="str">
        <f>_xlfn.XLOOKUP(Orders_table[[#This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_xlfn.IFS(J414="M","Midium",J414="L","Light",J414="D","Dark")</f>
        <v>Midium</v>
      </c>
      <c r="P414" t="str">
        <f>_xlfn.XLOOKUP(Orders_table[[#This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_xlfn.IFS(J415="M","Midium",J415="L","Light",J415="D","Dark")</f>
        <v>Light</v>
      </c>
      <c r="P415" t="str">
        <f>_xlfn.XLOOKUP(Orders_table[[#This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_xlfn.IFS(J416="M","Midium",J416="L","Light",J416="D","Dark")</f>
        <v>Light</v>
      </c>
      <c r="P416" t="str">
        <f>_xlfn.XLOOKUP(Orders_table[[#This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_xlfn.IFS(J417="M","Midium",J417="L","Light",J417="D","Dark")</f>
        <v>Midium</v>
      </c>
      <c r="P417" t="str">
        <f>_xlfn.XLOOKUP(Orders_table[[#This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_xlfn.IFS(J418="M","Midium",J418="L","Light",J418="D","Dark")</f>
        <v>Light</v>
      </c>
      <c r="P418" t="str">
        <f>_xlfn.XLOOKUP(Orders_table[[#This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_xlfn.IFS(J419="M","Midium",J419="L","Light",J419="D","Dark")</f>
        <v>Light</v>
      </c>
      <c r="P419" t="str">
        <f>_xlfn.XLOOKUP(Orders_table[[#This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_xlfn.IFS(J420="M","Midium",J420="L","Light",J420="D","Dark")</f>
        <v>Light</v>
      </c>
      <c r="P420" t="str">
        <f>_xlfn.XLOOKUP(Orders_table[[#This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_xlfn.IFS(J421="M","Midium",J421="L","Light",J421="D","Dark")</f>
        <v>Midium</v>
      </c>
      <c r="P421" t="str">
        <f>_xlfn.XLOOKUP(Orders_table[[#This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_xlfn.IFS(J422="M","Midium",J422="L","Light",J422="D","Dark")</f>
        <v>Dark</v>
      </c>
      <c r="P422" t="str">
        <f>_xlfn.XLOOKUP(Orders_table[[#This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_xlfn.IFS(J423="M","Midium",J423="L","Light",J423="D","Dark")</f>
        <v>Dark</v>
      </c>
      <c r="P423" t="str">
        <f>_xlfn.XLOOKUP(Orders_table[[#This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_xlfn.IFS(J424="M","Midium",J424="L","Light",J424="D","Dark")</f>
        <v>Dark</v>
      </c>
      <c r="P424" t="str">
        <f>_xlfn.XLOOKUP(Orders_table[[#This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_xlfn.IFS(J425="M","Midium",J425="L","Light",J425="D","Dark")</f>
        <v>Midium</v>
      </c>
      <c r="P425" t="str">
        <f>_xlfn.XLOOKUP(Orders_table[[#This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_xlfn.IFS(J426="M","Midium",J426="L","Light",J426="D","Dark")</f>
        <v>Light</v>
      </c>
      <c r="P426" t="str">
        <f>_xlfn.XLOOKUP(Orders_table[[#This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_xlfn.IFS(J427="M","Midium",J427="L","Light",J427="D","Dark")</f>
        <v>Dark</v>
      </c>
      <c r="P427" t="str">
        <f>_xlfn.XLOOKUP(Orders_table[[#This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_xlfn.IFS(J428="M","Midium",J428="L","Light",J428="D","Dark")</f>
        <v>Light</v>
      </c>
      <c r="P428" t="str">
        <f>_xlfn.XLOOKUP(Orders_table[[#This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_xlfn.IFS(J429="M","Midium",J429="L","Light",J429="D","Dark")</f>
        <v>Midium</v>
      </c>
      <c r="P429" t="str">
        <f>_xlfn.XLOOKUP(Orders_table[[#This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_xlfn.IFS(J430="M","Midium",J430="L","Light",J430="D","Dark")</f>
        <v>Light</v>
      </c>
      <c r="P430" t="str">
        <f>_xlfn.XLOOKUP(Orders_table[[#This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_xlfn.IFS(J431="M","Midium",J431="L","Light",J431="D","Dark")</f>
        <v>Light</v>
      </c>
      <c r="P431" t="str">
        <f>_xlfn.XLOOKUP(Orders_table[[#This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_xlfn.IFS(J432="M","Midium",J432="L","Light",J432="D","Dark")</f>
        <v>Dark</v>
      </c>
      <c r="P432" t="str">
        <f>_xlfn.XLOOKUP(Orders_table[[#This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_xlfn.IFS(J433="M","Midium",J433="L","Light",J433="D","Dark")</f>
        <v>Dark</v>
      </c>
      <c r="P433" t="str">
        <f>_xlfn.XLOOKUP(Orders_table[[#This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_xlfn.IFS(J434="M","Midium",J434="L","Light",J434="D","Dark")</f>
        <v>Midium</v>
      </c>
      <c r="P434" t="str">
        <f>_xlfn.XLOOKUP(Orders_table[[#This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_xlfn.IFS(J435="M","Midium",J435="L","Light",J435="D","Dark")</f>
        <v>Midium</v>
      </c>
      <c r="P435" t="str">
        <f>_xlfn.XLOOKUP(Orders_table[[#This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_xlfn.IFS(J436="M","Midium",J436="L","Light",J436="D","Dark")</f>
        <v>Midium</v>
      </c>
      <c r="P436" t="str">
        <f>_xlfn.XLOOKUP(Orders_table[[#This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_xlfn.IFS(J437="M","Midium",J437="L","Light",J437="D","Dark")</f>
        <v>Midium</v>
      </c>
      <c r="P437" t="str">
        <f>_xlfn.XLOOKUP(Orders_table[[#This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_xlfn.IFS(J438="M","Midium",J438="L","Light",J438="D","Dark")</f>
        <v>Light</v>
      </c>
      <c r="P438" t="str">
        <f>_xlfn.XLOOKUP(Orders_table[[#This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_xlfn.IFS(J439="M","Midium",J439="L","Light",J439="D","Dark")</f>
        <v>Dark</v>
      </c>
      <c r="P439" t="str">
        <f>_xlfn.XLOOKUP(Orders_table[[#This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_xlfn.IFS(J440="M","Midium",J440="L","Light",J440="D","Dark")</f>
        <v>Dark</v>
      </c>
      <c r="P440" t="str">
        <f>_xlfn.XLOOKUP(Orders_table[[#This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_xlfn.IFS(J441="M","Midium",J441="L","Light",J441="D","Dark")</f>
        <v>Light</v>
      </c>
      <c r="P441" t="str">
        <f>_xlfn.XLOOKUP(Orders_table[[#This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_xlfn.IFS(J442="M","Midium",J442="L","Light",J442="D","Dark")</f>
        <v>Midium</v>
      </c>
      <c r="P442" t="str">
        <f>_xlfn.XLOOKUP(Orders_table[[#This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_xlfn.IFS(J443="M","Midium",J443="L","Light",J443="D","Dark")</f>
        <v>Dark</v>
      </c>
      <c r="P443" t="str">
        <f>_xlfn.XLOOKUP(Orders_table[[#This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_xlfn.IFS(J444="M","Midium",J444="L","Light",J444="D","Dark")</f>
        <v>Light</v>
      </c>
      <c r="P444" t="str">
        <f>_xlfn.XLOOKUP(Orders_table[[#This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_xlfn.IFS(J445="M","Midium",J445="L","Light",J445="D","Dark")</f>
        <v>Light</v>
      </c>
      <c r="P445" t="str">
        <f>_xlfn.XLOOKUP(Orders_table[[#This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_xlfn.IFS(J446="M","Midium",J446="L","Light",J446="D","Dark")</f>
        <v>Midium</v>
      </c>
      <c r="P446" t="str">
        <f>_xlfn.XLOOKUP(Orders_table[[#This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_xlfn.IFS(J447="M","Midium",J447="L","Light",J447="D","Dark")</f>
        <v>Midium</v>
      </c>
      <c r="P447" t="str">
        <f>_xlfn.XLOOKUP(Orders_table[[#This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_xlfn.IFS(J448="M","Midium",J448="L","Light",J448="D","Dark")</f>
        <v>Midium</v>
      </c>
      <c r="P448" t="str">
        <f>_xlfn.XLOOKUP(Orders_table[[#This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_xlfn.IFS(J449="M","Midium",J449="L","Light",J449="D","Dark")</f>
        <v>Midium</v>
      </c>
      <c r="P449" t="str">
        <f>_xlfn.XLOOKUP(Orders_table[[#This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_xlfn.IFS(J450="M","Midium",J450="L","Light",J450="D","Dark")</f>
        <v>Light</v>
      </c>
      <c r="P450" t="str">
        <f>_xlfn.XLOOKUP(Orders_table[[#This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_xlfn.IFS(J451="M","Midium",J451="L","Light",J451="D","Dark")</f>
        <v>Dark</v>
      </c>
      <c r="P451" t="str">
        <f>_xlfn.XLOOKUP(Orders_table[[#This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_xlfn.IFS(J452="M","Midium",J452="L","Light",J452="D","Dark")</f>
        <v>Light</v>
      </c>
      <c r="P452" t="str">
        <f>_xlfn.XLOOKUP(Orders_table[[#This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_xlfn.IFS(J453="M","Midium",J453="L","Light",J453="D","Dark")</f>
        <v>Dark</v>
      </c>
      <c r="P453" t="str">
        <f>_xlfn.XLOOKUP(Orders_table[[#This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_xlfn.IFS(J454="M","Midium",J454="L","Light",J454="D","Dark")</f>
        <v>Light</v>
      </c>
      <c r="P454" t="str">
        <f>_xlfn.XLOOKUP(Orders_table[[#This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_xlfn.IFS(J455="M","Midium",J455="L","Light",J455="D","Dark")</f>
        <v>Light</v>
      </c>
      <c r="P455" t="str">
        <f>_xlfn.XLOOKUP(Orders_table[[#This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_xlfn.IFS(J456="M","Midium",J456="L","Light",J456="D","Dark")</f>
        <v>Dark</v>
      </c>
      <c r="P456" t="str">
        <f>_xlfn.XLOOKUP(Orders_table[[#This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_xlfn.IFS(J457="M","Midium",J457="L","Light",J457="D","Dark")</f>
        <v>Light</v>
      </c>
      <c r="P457" t="str">
        <f>_xlfn.XLOOKUP(Orders_table[[#This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_xlfn.IFS(J458="M","Midium",J458="L","Light",J458="D","Dark")</f>
        <v>Dark</v>
      </c>
      <c r="P458" t="str">
        <f>_xlfn.XLOOKUP(Orders_table[[#This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_xlfn.IFS(J459="M","Midium",J459="L","Light",J459="D","Dark")</f>
        <v>Light</v>
      </c>
      <c r="P459" t="str">
        <f>_xlfn.XLOOKUP(Orders_table[[#This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_xlfn.IFS(J460="M","Midium",J460="L","Light",J460="D","Dark")</f>
        <v>Midium</v>
      </c>
      <c r="P460" t="str">
        <f>_xlfn.XLOOKUP(Orders_table[[#This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_xlfn.IFS(J461="M","Midium",J461="L","Light",J461="D","Dark")</f>
        <v>Light</v>
      </c>
      <c r="P461" t="str">
        <f>_xlfn.XLOOKUP(Orders_table[[#This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_xlfn.IFS(J462="M","Midium",J462="L","Light",J462="D","Dark")</f>
        <v>Dark</v>
      </c>
      <c r="P462" t="str">
        <f>_xlfn.XLOOKUP(Orders_table[[#This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_xlfn.IFS(J463="M","Midium",J463="L","Light",J463="D","Dark")</f>
        <v>Dark</v>
      </c>
      <c r="P463" t="str">
        <f>_xlfn.XLOOKUP(Orders_table[[#This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_xlfn.IFS(J464="M","Midium",J464="L","Light",J464="D","Dark")</f>
        <v>Dark</v>
      </c>
      <c r="P464" t="str">
        <f>_xlfn.XLOOKUP(Orders_table[[#This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_xlfn.IFS(J465="M","Midium",J465="L","Light",J465="D","Dark")</f>
        <v>Midium</v>
      </c>
      <c r="P465" t="str">
        <f>_xlfn.XLOOKUP(Orders_table[[#This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_xlfn.IFS(J466="M","Midium",J466="L","Light",J466="D","Dark")</f>
        <v>Dark</v>
      </c>
      <c r="P466" t="str">
        <f>_xlfn.XLOOKUP(Orders_table[[#This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_xlfn.IFS(J467="M","Midium",J467="L","Light",J467="D","Dark")</f>
        <v>Dark</v>
      </c>
      <c r="P467" t="str">
        <f>_xlfn.XLOOKUP(Orders_table[[#This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_xlfn.IFS(J468="M","Midium",J468="L","Light",J468="D","Dark")</f>
        <v>Dark</v>
      </c>
      <c r="P468" t="str">
        <f>_xlfn.XLOOKUP(Orders_table[[#This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_xlfn.IFS(J469="M","Midium",J469="L","Light",J469="D","Dark")</f>
        <v>Dark</v>
      </c>
      <c r="P469" t="str">
        <f>_xlfn.XLOOKUP(Orders_table[[#This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_xlfn.IFS(J470="M","Midium",J470="L","Light",J470="D","Dark")</f>
        <v>Midium</v>
      </c>
      <c r="P470" t="str">
        <f>_xlfn.XLOOKUP(Orders_table[[#This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_xlfn.IFS(J471="M","Midium",J471="L","Light",J471="D","Dark")</f>
        <v>Light</v>
      </c>
      <c r="P471" t="str">
        <f>_xlfn.XLOOKUP(Orders_table[[#This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_xlfn.IFS(J472="M","Midium",J472="L","Light",J472="D","Dark")</f>
        <v>Midium</v>
      </c>
      <c r="P472" t="str">
        <f>_xlfn.XLOOKUP(Orders_table[[#This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_xlfn.IFS(J473="M","Midium",J473="L","Light",J473="D","Dark")</f>
        <v>Midium</v>
      </c>
      <c r="P473" t="str">
        <f>_xlfn.XLOOKUP(Orders_table[[#This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_xlfn.IFS(J474="M","Midium",J474="L","Light",J474="D","Dark")</f>
        <v>Dark</v>
      </c>
      <c r="P474" t="str">
        <f>_xlfn.XLOOKUP(Orders_table[[#This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_xlfn.IFS(J475="M","Midium",J475="L","Light",J475="D","Dark")</f>
        <v>Light</v>
      </c>
      <c r="P475" t="str">
        <f>_xlfn.XLOOKUP(Orders_table[[#This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_xlfn.IFS(J476="M","Midium",J476="L","Light",J476="D","Dark")</f>
        <v>Midium</v>
      </c>
      <c r="P476" t="str">
        <f>_xlfn.XLOOKUP(Orders_table[[#This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_xlfn.IFS(J477="M","Midium",J477="L","Light",J477="D","Dark")</f>
        <v>Midium</v>
      </c>
      <c r="P477" t="str">
        <f>_xlfn.XLOOKUP(Orders_table[[#This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_xlfn.IFS(J478="M","Midium",J478="L","Light",J478="D","Dark")</f>
        <v>Light</v>
      </c>
      <c r="P478" t="str">
        <f>_xlfn.XLOOKUP(Orders_table[[#This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_xlfn.IFS(J479="M","Midium",J479="L","Light",J479="D","Dark")</f>
        <v>Midium</v>
      </c>
      <c r="P479" t="str">
        <f>_xlfn.XLOOKUP(Orders_table[[#This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_xlfn.IFS(J480="M","Midium",J480="L","Light",J480="D","Dark")</f>
        <v>Dark</v>
      </c>
      <c r="P480" t="str">
        <f>_xlfn.XLOOKUP(Orders_table[[#This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_xlfn.IFS(J481="M","Midium",J481="L","Light",J481="D","Dark")</f>
        <v>Midium</v>
      </c>
      <c r="P481" t="str">
        <f>_xlfn.XLOOKUP(Orders_table[[#This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_xlfn.IFS(J482="M","Midium",J482="L","Light",J482="D","Dark")</f>
        <v>Midium</v>
      </c>
      <c r="P482" t="str">
        <f>_xlfn.XLOOKUP(Orders_table[[#This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_xlfn.IFS(J483="M","Midium",J483="L","Light",J483="D","Dark")</f>
        <v>Light</v>
      </c>
      <c r="P483" t="str">
        <f>_xlfn.XLOOKUP(Orders_table[[#This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_xlfn.IFS(J484="M","Midium",J484="L","Light",J484="D","Dark")</f>
        <v>Dark</v>
      </c>
      <c r="P484" t="str">
        <f>_xlfn.XLOOKUP(Orders_table[[#This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_xlfn.IFS(J485="M","Midium",J485="L","Light",J485="D","Dark")</f>
        <v>Dark</v>
      </c>
      <c r="P485" t="str">
        <f>_xlfn.XLOOKUP(Orders_table[[#This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_xlfn.IFS(J486="M","Midium",J486="L","Light",J486="D","Dark")</f>
        <v>Light</v>
      </c>
      <c r="P486" t="str">
        <f>_xlfn.XLOOKUP(Orders_table[[#This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_xlfn.IFS(J487="M","Midium",J487="L","Light",J487="D","Dark")</f>
        <v>Light</v>
      </c>
      <c r="P487" t="str">
        <f>_xlfn.XLOOKUP(Orders_table[[#This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_xlfn.IFS(J488="M","Midium",J488="L","Light",J488="D","Dark")</f>
        <v>Midium</v>
      </c>
      <c r="P488" t="str">
        <f>_xlfn.XLOOKUP(Orders_table[[#This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_xlfn.IFS(J489="M","Midium",J489="L","Light",J489="D","Dark")</f>
        <v>Dark</v>
      </c>
      <c r="P489" t="str">
        <f>_xlfn.XLOOKUP(Orders_table[[#This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_xlfn.IFS(J490="M","Midium",J490="L","Light",J490="D","Dark")</f>
        <v>Midium</v>
      </c>
      <c r="P490" t="str">
        <f>_xlfn.XLOOKUP(Orders_table[[#This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_xlfn.IFS(J491="M","Midium",J491="L","Light",J491="D","Dark")</f>
        <v>Light</v>
      </c>
      <c r="P491" t="str">
        <f>_xlfn.XLOOKUP(Orders_table[[#This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_xlfn.IFS(J492="M","Midium",J492="L","Light",J492="D","Dark")</f>
        <v>Dark</v>
      </c>
      <c r="P492" t="str">
        <f>_xlfn.XLOOKUP(Orders_table[[#This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_xlfn.IFS(J493="M","Midium",J493="L","Light",J493="D","Dark")</f>
        <v>Dark</v>
      </c>
      <c r="P493" t="str">
        <f>_xlfn.XLOOKUP(Orders_table[[#This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_xlfn.IFS(J494="M","Midium",J494="L","Light",J494="D","Dark")</f>
        <v>Midium</v>
      </c>
      <c r="P494" t="str">
        <f>_xlfn.XLOOKUP(Orders_table[[#This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_xlfn.IFS(J495="M","Midium",J495="L","Light",J495="D","Dark")</f>
        <v>Midium</v>
      </c>
      <c r="P495" t="str">
        <f>_xlfn.XLOOKUP(Orders_table[[#This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_xlfn.IFS(J496="M","Midium",J496="L","Light",J496="D","Dark")</f>
        <v>Light</v>
      </c>
      <c r="P496" t="str">
        <f>_xlfn.XLOOKUP(Orders_table[[#This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_xlfn.IFS(J497="M","Midium",J497="L","Light",J497="D","Dark")</f>
        <v>Light</v>
      </c>
      <c r="P497" t="str">
        <f>_xlfn.XLOOKUP(Orders_table[[#This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_xlfn.IFS(J498="M","Midium",J498="L","Light",J498="D","Dark")</f>
        <v>Dark</v>
      </c>
      <c r="P498" t="str">
        <f>_xlfn.XLOOKUP(Orders_table[[#This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_xlfn.IFS(J499="M","Midium",J499="L","Light",J499="D","Dark")</f>
        <v>Dark</v>
      </c>
      <c r="P499" t="str">
        <f>_xlfn.XLOOKUP(Orders_table[[#This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_xlfn.IFS(J500="M","Midium",J500="L","Light",J500="D","Dark")</f>
        <v>Midium</v>
      </c>
      <c r="P500" t="str">
        <f>_xlfn.XLOOKUP(Orders_table[[#This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_xlfn.IFS(J501="M","Midium",J501="L","Light",J501="D","Dark")</f>
        <v>Dark</v>
      </c>
      <c r="P501" t="str">
        <f>_xlfn.XLOOKUP(Orders_table[[#This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_xlfn.IFS(J502="M","Midium",J502="L","Light",J502="D","Dark")</f>
        <v>Light</v>
      </c>
      <c r="P502" t="str">
        <f>_xlfn.XLOOKUP(Orders_table[[#This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_xlfn.IFS(J503="M","Midium",J503="L","Light",J503="D","Dark")</f>
        <v>Midium</v>
      </c>
      <c r="P503" t="str">
        <f>_xlfn.XLOOKUP(Orders_table[[#This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_xlfn.IFS(J504="M","Midium",J504="L","Light",J504="D","Dark")</f>
        <v>Midium</v>
      </c>
      <c r="P504" t="str">
        <f>_xlfn.XLOOKUP(Orders_table[[#This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_xlfn.IFS(J505="M","Midium",J505="L","Light",J505="D","Dark")</f>
        <v>Dark</v>
      </c>
      <c r="P505" t="str">
        <f>_xlfn.XLOOKUP(Orders_table[[#This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_xlfn.IFS(J506="M","Midium",J506="L","Light",J506="D","Dark")</f>
        <v>Light</v>
      </c>
      <c r="P506" t="str">
        <f>_xlfn.XLOOKUP(Orders_table[[#This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_xlfn.IFS(J507="M","Midium",J507="L","Light",J507="D","Dark")</f>
        <v>Midium</v>
      </c>
      <c r="P507" t="str">
        <f>_xlfn.XLOOKUP(Orders_table[[#This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_xlfn.IFS(J508="M","Midium",J508="L","Light",J508="D","Dark")</f>
        <v>Light</v>
      </c>
      <c r="P508" t="str">
        <f>_xlfn.XLOOKUP(Orders_table[[#This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_xlfn.IFS(J509="M","Midium",J509="L","Light",J509="D","Dark")</f>
        <v>Light</v>
      </c>
      <c r="P509" t="str">
        <f>_xlfn.XLOOKUP(Orders_table[[#This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_xlfn.IFS(J510="M","Midium",J510="L","Light",J510="D","Dark")</f>
        <v>Dark</v>
      </c>
      <c r="P510" t="str">
        <f>_xlfn.XLOOKUP(Orders_table[[#This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_xlfn.IFS(J511="M","Midium",J511="L","Light",J511="D","Dark")</f>
        <v>Dark</v>
      </c>
      <c r="P511" t="str">
        <f>_xlfn.XLOOKUP(Orders_table[[#This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_xlfn.IFS(J512="M","Midium",J512="L","Light",J512="D","Dark")</f>
        <v>Light</v>
      </c>
      <c r="P512" t="str">
        <f>_xlfn.XLOOKUP(Orders_table[[#This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_xlfn.IFS(J513="M","Midium",J513="L","Light",J513="D","Dark")</f>
        <v>Midium</v>
      </c>
      <c r="P513" t="str">
        <f>_xlfn.XLOOKUP(Orders_table[[#This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_xlfn.IFS(J514="M","Midium",J514="L","Light",J514="D","Dark")</f>
        <v>Light</v>
      </c>
      <c r="P514" t="str">
        <f>_xlfn.XLOOKUP(Orders_table[[#This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_xlfn.IFS(J515="M","Midium",J515="L","Light",J515="D","Dark")</f>
        <v>Light</v>
      </c>
      <c r="P515" t="str">
        <f>_xlfn.XLOOKUP(Orders_table[[#This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_xlfn.IFS(J516="M","Midium",J516="L","Light",J516="D","Dark")</f>
        <v>Midium</v>
      </c>
      <c r="P516" t="str">
        <f>_xlfn.XLOOKUP(Orders_table[[#This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_xlfn.IFS(J517="M","Midium",J517="L","Light",J517="D","Dark")</f>
        <v>Light</v>
      </c>
      <c r="P517" t="str">
        <f>_xlfn.XLOOKUP(Orders_table[[#This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_xlfn.IFS(J518="M","Midium",J518="L","Light",J518="D","Dark")</f>
        <v>Dark</v>
      </c>
      <c r="P518" t="str">
        <f>_xlfn.XLOOKUP(Orders_table[[#This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_xlfn.IFS(J519="M","Midium",J519="L","Light",J519="D","Dark")</f>
        <v>Dark</v>
      </c>
      <c r="P519" t="str">
        <f>_xlfn.XLOOKUP(Orders_table[[#This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_xlfn.IFS(J520="M","Midium",J520="L","Light",J520="D","Dark")</f>
        <v>Dark</v>
      </c>
      <c r="P520" t="str">
        <f>_xlfn.XLOOKUP(Orders_table[[#This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_xlfn.IFS(J521="M","Midium",J521="L","Light",J521="D","Dark")</f>
        <v>Dark</v>
      </c>
      <c r="P521" t="str">
        <f>_xlfn.XLOOKUP(Orders_table[[#This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_xlfn.IFS(J522="M","Midium",J522="L","Light",J522="D","Dark")</f>
        <v>Dark</v>
      </c>
      <c r="P522" t="str">
        <f>_xlfn.XLOOKUP(Orders_table[[#This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_xlfn.IFS(J523="M","Midium",J523="L","Light",J523="D","Dark")</f>
        <v>Midium</v>
      </c>
      <c r="P523" t="str">
        <f>_xlfn.XLOOKUP(Orders_table[[#This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_xlfn.IFS(J524="M","Midium",J524="L","Light",J524="D","Dark")</f>
        <v>Midium</v>
      </c>
      <c r="P524" t="str">
        <f>_xlfn.XLOOKUP(Orders_table[[#This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_xlfn.IFS(J525="M","Midium",J525="L","Light",J525="D","Dark")</f>
        <v>Dark</v>
      </c>
      <c r="P525" t="str">
        <f>_xlfn.XLOOKUP(Orders_table[[#This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_xlfn.IFS(J526="M","Midium",J526="L","Light",J526="D","Dark")</f>
        <v>Light</v>
      </c>
      <c r="P526" t="str">
        <f>_xlfn.XLOOKUP(Orders_table[[#This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_xlfn.IFS(J527="M","Midium",J527="L","Light",J527="D","Dark")</f>
        <v>Dark</v>
      </c>
      <c r="P527" t="str">
        <f>_xlfn.XLOOKUP(Orders_table[[#This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_xlfn.IFS(J528="M","Midium",J528="L","Light",J528="D","Dark")</f>
        <v>Midium</v>
      </c>
      <c r="P528" t="str">
        <f>_xlfn.XLOOKUP(Orders_table[[#This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_xlfn.IFS(J529="M","Midium",J529="L","Light",J529="D","Dark")</f>
        <v>Midium</v>
      </c>
      <c r="P529" t="str">
        <f>_xlfn.XLOOKUP(Orders_table[[#This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_xlfn.IFS(J530="M","Midium",J530="L","Light",J530="D","Dark")</f>
        <v>Light</v>
      </c>
      <c r="P530" t="str">
        <f>_xlfn.XLOOKUP(Orders_table[[#This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_xlfn.IFS(J531="M","Midium",J531="L","Light",J531="D","Dark")</f>
        <v>Midium</v>
      </c>
      <c r="P531" t="str">
        <f>_xlfn.XLOOKUP(Orders_table[[#This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_xlfn.IFS(J532="M","Midium",J532="L","Light",J532="D","Dark")</f>
        <v>Midium</v>
      </c>
      <c r="P532" t="str">
        <f>_xlfn.XLOOKUP(Orders_table[[#This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_xlfn.IFS(J533="M","Midium",J533="L","Light",J533="D","Dark")</f>
        <v>Dark</v>
      </c>
      <c r="P533" t="str">
        <f>_xlfn.XLOOKUP(Orders_table[[#This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_xlfn.IFS(J534="M","Midium",J534="L","Light",J534="D","Dark")</f>
        <v>Midium</v>
      </c>
      <c r="P534" t="str">
        <f>_xlfn.XLOOKUP(Orders_table[[#This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_xlfn.IFS(J535="M","Midium",J535="L","Light",J535="D","Dark")</f>
        <v>Dark</v>
      </c>
      <c r="P535" t="str">
        <f>_xlfn.XLOOKUP(Orders_table[[#This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_xlfn.IFS(J536="M","Midium",J536="L","Light",J536="D","Dark")</f>
        <v>Midium</v>
      </c>
      <c r="P536" t="str">
        <f>_xlfn.XLOOKUP(Orders_table[[#This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_xlfn.IFS(J537="M","Midium",J537="L","Light",J537="D","Dark")</f>
        <v>Light</v>
      </c>
      <c r="P537" t="str">
        <f>_xlfn.XLOOKUP(Orders_table[[#This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_xlfn.IFS(J538="M","Midium",J538="L","Light",J538="D","Dark")</f>
        <v>Dark</v>
      </c>
      <c r="P538" t="str">
        <f>_xlfn.XLOOKUP(Orders_table[[#This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_xlfn.IFS(J539="M","Midium",J539="L","Light",J539="D","Dark")</f>
        <v>Dark</v>
      </c>
      <c r="P539" t="str">
        <f>_xlfn.XLOOKUP(Orders_table[[#This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_xlfn.IFS(J540="M","Midium",J540="L","Light",J540="D","Dark")</f>
        <v>Dark</v>
      </c>
      <c r="P540" t="str">
        <f>_xlfn.XLOOKUP(Orders_table[[#This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_xlfn.IFS(J541="M","Midium",J541="L","Light",J541="D","Dark")</f>
        <v>Dark</v>
      </c>
      <c r="P541" t="str">
        <f>_xlfn.XLOOKUP(Orders_table[[#This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_xlfn.IFS(J542="M","Midium",J542="L","Light",J542="D","Dark")</f>
        <v>Light</v>
      </c>
      <c r="P542" t="str">
        <f>_xlfn.XLOOKUP(Orders_table[[#This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_xlfn.IFS(J543="M","Midium",J543="L","Light",J543="D","Dark")</f>
        <v>Dark</v>
      </c>
      <c r="P543" t="str">
        <f>_xlfn.XLOOKUP(Orders_table[[#This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_xlfn.IFS(J544="M","Midium",J544="L","Light",J544="D","Dark")</f>
        <v>Midium</v>
      </c>
      <c r="P544" t="str">
        <f>_xlfn.XLOOKUP(Orders_table[[#This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_xlfn.IFS(J545="M","Midium",J545="L","Light",J545="D","Dark")</f>
        <v>Light</v>
      </c>
      <c r="P545" t="str">
        <f>_xlfn.XLOOKUP(Orders_table[[#This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_xlfn.IFS(J546="M","Midium",J546="L","Light",J546="D","Dark")</f>
        <v>Light</v>
      </c>
      <c r="P546" t="str">
        <f>_xlfn.XLOOKUP(Orders_table[[#This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_xlfn.IFS(J547="M","Midium",J547="L","Light",J547="D","Dark")</f>
        <v>Dark</v>
      </c>
      <c r="P547" t="str">
        <f>_xlfn.XLOOKUP(Orders_table[[#This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_xlfn.IFS(J548="M","Midium",J548="L","Light",J548="D","Dark")</f>
        <v>Dark</v>
      </c>
      <c r="P548" t="str">
        <f>_xlfn.XLOOKUP(Orders_table[[#This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_xlfn.IFS(J549="M","Midium",J549="L","Light",J549="D","Dark")</f>
        <v>Light</v>
      </c>
      <c r="P549" t="str">
        <f>_xlfn.XLOOKUP(Orders_table[[#This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_xlfn.IFS(J550="M","Midium",J550="L","Light",J550="D","Dark")</f>
        <v>Light</v>
      </c>
      <c r="P550" t="str">
        <f>_xlfn.XLOOKUP(Orders_table[[#This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_xlfn.IFS(J551="M","Midium",J551="L","Light",J551="D","Dark")</f>
        <v>Light</v>
      </c>
      <c r="P551" t="str">
        <f>_xlfn.XLOOKUP(Orders_table[[#This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_xlfn.IFS(J552="M","Midium",J552="L","Light",J552="D","Dark")</f>
        <v>Dark</v>
      </c>
      <c r="P552" t="str">
        <f>_xlfn.XLOOKUP(Orders_table[[#This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_xlfn.IFS(J553="M","Midium",J553="L","Light",J553="D","Dark")</f>
        <v>Dark</v>
      </c>
      <c r="P553" t="str">
        <f>_xlfn.XLOOKUP(Orders_table[[#This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_xlfn.IFS(J554="M","Midium",J554="L","Light",J554="D","Dark")</f>
        <v>Light</v>
      </c>
      <c r="P554" t="str">
        <f>_xlfn.XLOOKUP(Orders_table[[#This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_xlfn.IFS(J555="M","Midium",J555="L","Light",J555="D","Dark")</f>
        <v>Midium</v>
      </c>
      <c r="P555" t="str">
        <f>_xlfn.XLOOKUP(Orders_table[[#This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_xlfn.IFS(J556="M","Midium",J556="L","Light",J556="D","Dark")</f>
        <v>Light</v>
      </c>
      <c r="P556" t="str">
        <f>_xlfn.XLOOKUP(Orders_table[[#This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_xlfn.IFS(J557="M","Midium",J557="L","Light",J557="D","Dark")</f>
        <v>Midium</v>
      </c>
      <c r="P557" t="str">
        <f>_xlfn.XLOOKUP(Orders_table[[#This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_xlfn.IFS(J558="M","Midium",J558="L","Light",J558="D","Dark")</f>
        <v>Midium</v>
      </c>
      <c r="P558" t="str">
        <f>_xlfn.XLOOKUP(Orders_table[[#This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_xlfn.IFS(J559="M","Midium",J559="L","Light",J559="D","Dark")</f>
        <v>Light</v>
      </c>
      <c r="P559" t="str">
        <f>_xlfn.XLOOKUP(Orders_table[[#This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_xlfn.IFS(J560="M","Midium",J560="L","Light",J560="D","Dark")</f>
        <v>Dark</v>
      </c>
      <c r="P560" t="str">
        <f>_xlfn.XLOOKUP(Orders_table[[#This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_xlfn.IFS(J561="M","Midium",J561="L","Light",J561="D","Dark")</f>
        <v>Light</v>
      </c>
      <c r="P561" t="str">
        <f>_xlfn.XLOOKUP(Orders_table[[#This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_xlfn.IFS(J562="M","Midium",J562="L","Light",J562="D","Dark")</f>
        <v>Midium</v>
      </c>
      <c r="P562" t="str">
        <f>_xlfn.XLOOKUP(Orders_table[[#This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_xlfn.IFS(J563="M","Midium",J563="L","Light",J563="D","Dark")</f>
        <v>Dark</v>
      </c>
      <c r="P563" t="str">
        <f>_xlfn.XLOOKUP(Orders_table[[#This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_xlfn.IFS(J564="M","Midium",J564="L","Light",J564="D","Dark")</f>
        <v>Light</v>
      </c>
      <c r="P564" t="str">
        <f>_xlfn.XLOOKUP(Orders_table[[#This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_xlfn.IFS(J565="M","Midium",J565="L","Light",J565="D","Dark")</f>
        <v>Midium</v>
      </c>
      <c r="P565" t="str">
        <f>_xlfn.XLOOKUP(Orders_table[[#This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_xlfn.IFS(J566="M","Midium",J566="L","Light",J566="D","Dark")</f>
        <v>Light</v>
      </c>
      <c r="P566" t="str">
        <f>_xlfn.XLOOKUP(Orders_table[[#This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_xlfn.IFS(J567="M","Midium",J567="L","Light",J567="D","Dark")</f>
        <v>Dark</v>
      </c>
      <c r="P567" t="str">
        <f>_xlfn.XLOOKUP(Orders_table[[#This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_xlfn.IFS(J568="M","Midium",J568="L","Light",J568="D","Dark")</f>
        <v>Midium</v>
      </c>
      <c r="P568" t="str">
        <f>_xlfn.XLOOKUP(Orders_table[[#This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_xlfn.IFS(J569="M","Midium",J569="L","Light",J569="D","Dark")</f>
        <v>Light</v>
      </c>
      <c r="P569" t="str">
        <f>_xlfn.XLOOKUP(Orders_table[[#This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_xlfn.IFS(J570="M","Midium",J570="L","Light",J570="D","Dark")</f>
        <v>Light</v>
      </c>
      <c r="P570" t="str">
        <f>_xlfn.XLOOKUP(Orders_table[[#This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_xlfn.IFS(J571="M","Midium",J571="L","Light",J571="D","Dark")</f>
        <v>Dark</v>
      </c>
      <c r="P571" t="str">
        <f>_xlfn.XLOOKUP(Orders_table[[#This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_xlfn.IFS(J572="M","Midium",J572="L","Light",J572="D","Dark")</f>
        <v>Midium</v>
      </c>
      <c r="P572" t="str">
        <f>_xlfn.XLOOKUP(Orders_table[[#This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_xlfn.IFS(J573="M","Midium",J573="L","Light",J573="D","Dark")</f>
        <v>Light</v>
      </c>
      <c r="P573" t="str">
        <f>_xlfn.XLOOKUP(Orders_table[[#This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_xlfn.IFS(J574="M","Midium",J574="L","Light",J574="D","Dark")</f>
        <v>Dark</v>
      </c>
      <c r="P574" t="str">
        <f>_xlfn.XLOOKUP(Orders_table[[#This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_xlfn.IFS(J575="M","Midium",J575="L","Light",J575="D","Dark")</f>
        <v>Midium</v>
      </c>
      <c r="P575" t="str">
        <f>_xlfn.XLOOKUP(Orders_table[[#This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_xlfn.IFS(J576="M","Midium",J576="L","Light",J576="D","Dark")</f>
        <v>Light</v>
      </c>
      <c r="P576" t="str">
        <f>_xlfn.XLOOKUP(Orders_table[[#This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_xlfn.IFS(J577="M","Midium",J577="L","Light",J577="D","Dark")</f>
        <v>Midium</v>
      </c>
      <c r="P577" t="str">
        <f>_xlfn.XLOOKUP(Orders_table[[#This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_xlfn.IFS(J578="M","Midium",J578="L","Light",J578="D","Dark")</f>
        <v>Dark</v>
      </c>
      <c r="P578" t="str">
        <f>_xlfn.XLOOKUP(Orders_table[[#This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_xlfn.IFS(J579="M","Midium",J579="L","Light",J579="D","Dark")</f>
        <v>Midium</v>
      </c>
      <c r="P579" t="str">
        <f>_xlfn.XLOOKUP(Orders_table[[#This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_xlfn.IFS(J580="M","Midium",J580="L","Light",J580="D","Dark")</f>
        <v>Light</v>
      </c>
      <c r="P580" t="str">
        <f>_xlfn.XLOOKUP(Orders_table[[#This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_xlfn.IFS(J581="M","Midium",J581="L","Light",J581="D","Dark")</f>
        <v>Midium</v>
      </c>
      <c r="P581" t="str">
        <f>_xlfn.XLOOKUP(Orders_table[[#This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_xlfn.IFS(J582="M","Midium",J582="L","Light",J582="D","Dark")</f>
        <v>Light</v>
      </c>
      <c r="P582" t="str">
        <f>_xlfn.XLOOKUP(Orders_table[[#This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_xlfn.IFS(J583="M","Midium",J583="L","Light",J583="D","Dark")</f>
        <v>Light</v>
      </c>
      <c r="P583" t="str">
        <f>_xlfn.XLOOKUP(Orders_table[[#This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_xlfn.IFS(J584="M","Midium",J584="L","Light",J584="D","Dark")</f>
        <v>Dark</v>
      </c>
      <c r="P584" t="str">
        <f>_xlfn.XLOOKUP(Orders_table[[#This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_xlfn.IFS(J585="M","Midium",J585="L","Light",J585="D","Dark")</f>
        <v>Light</v>
      </c>
      <c r="P585" t="str">
        <f>_xlfn.XLOOKUP(Orders_table[[#This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_xlfn.IFS(J586="M","Midium",J586="L","Light",J586="D","Dark")</f>
        <v>Light</v>
      </c>
      <c r="P586" t="str">
        <f>_xlfn.XLOOKUP(Orders_table[[#This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_xlfn.IFS(J587="M","Midium",J587="L","Light",J587="D","Dark")</f>
        <v>Midium</v>
      </c>
      <c r="P587" t="str">
        <f>_xlfn.XLOOKUP(Orders_table[[#This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_xlfn.IFS(J588="M","Midium",J588="L","Light",J588="D","Dark")</f>
        <v>Light</v>
      </c>
      <c r="P588" t="str">
        <f>_xlfn.XLOOKUP(Orders_table[[#This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_xlfn.IFS(J589="M","Midium",J589="L","Light",J589="D","Dark")</f>
        <v>Dark</v>
      </c>
      <c r="P589" t="str">
        <f>_xlfn.XLOOKUP(Orders_table[[#This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_xlfn.IFS(J590="M","Midium",J590="L","Light",J590="D","Dark")</f>
        <v>Midium</v>
      </c>
      <c r="P590" t="str">
        <f>_xlfn.XLOOKUP(Orders_table[[#This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_xlfn.IFS(J591="M","Midium",J591="L","Light",J591="D","Dark")</f>
        <v>Light</v>
      </c>
      <c r="P591" t="str">
        <f>_xlfn.XLOOKUP(Orders_table[[#This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_xlfn.IFS(J592="M","Midium",J592="L","Light",J592="D","Dark")</f>
        <v>Midium</v>
      </c>
      <c r="P592" t="str">
        <f>_xlfn.XLOOKUP(Orders_table[[#This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_xlfn.IFS(J593="M","Midium",J593="L","Light",J593="D","Dark")</f>
        <v>Dark</v>
      </c>
      <c r="P593" t="str">
        <f>_xlfn.XLOOKUP(Orders_table[[#This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_xlfn.IFS(J594="M","Midium",J594="L","Light",J594="D","Dark")</f>
        <v>Midium</v>
      </c>
      <c r="P594" t="str">
        <f>_xlfn.XLOOKUP(Orders_table[[#This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_xlfn.IFS(J595="M","Midium",J595="L","Light",J595="D","Dark")</f>
        <v>Dark</v>
      </c>
      <c r="P595" t="str">
        <f>_xlfn.XLOOKUP(Orders_table[[#This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_xlfn.IFS(J596="M","Midium",J596="L","Light",J596="D","Dark")</f>
        <v>Light</v>
      </c>
      <c r="P596" t="str">
        <f>_xlfn.XLOOKUP(Orders_table[[#This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_xlfn.IFS(J597="M","Midium",J597="L","Light",J597="D","Dark")</f>
        <v>Light</v>
      </c>
      <c r="P597" t="str">
        <f>_xlfn.XLOOKUP(Orders_table[[#This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_xlfn.IFS(J598="M","Midium",J598="L","Light",J598="D","Dark")</f>
        <v>Midium</v>
      </c>
      <c r="P598" t="str">
        <f>_xlfn.XLOOKUP(Orders_table[[#This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_xlfn.IFS(J599="M","Midium",J599="L","Light",J599="D","Dark")</f>
        <v>Light</v>
      </c>
      <c r="P599" t="str">
        <f>_xlfn.XLOOKUP(Orders_table[[#This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_xlfn.IFS(J600="M","Midium",J600="L","Light",J600="D","Dark")</f>
        <v>Midium</v>
      </c>
      <c r="P600" t="str">
        <f>_xlfn.XLOOKUP(Orders_table[[#This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_xlfn.IFS(J601="M","Midium",J601="L","Light",J601="D","Dark")</f>
        <v>Dark</v>
      </c>
      <c r="P601" t="str">
        <f>_xlfn.XLOOKUP(Orders_table[[#This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_xlfn.IFS(J602="M","Midium",J602="L","Light",J602="D","Dark")</f>
        <v>Dark</v>
      </c>
      <c r="P602" t="str">
        <f>_xlfn.XLOOKUP(Orders_table[[#This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_xlfn.IFS(J603="M","Midium",J603="L","Light",J603="D","Dark")</f>
        <v>Light</v>
      </c>
      <c r="P603" t="str">
        <f>_xlfn.XLOOKUP(Orders_table[[#This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_xlfn.IFS(J604="M","Midium",J604="L","Light",J604="D","Dark")</f>
        <v>Light</v>
      </c>
      <c r="P604" t="str">
        <f>_xlfn.XLOOKUP(Orders_table[[#This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_xlfn.IFS(J605="M","Midium",J605="L","Light",J605="D","Dark")</f>
        <v>Midium</v>
      </c>
      <c r="P605" t="str">
        <f>_xlfn.XLOOKUP(Orders_table[[#This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_xlfn.IFS(J606="M","Midium",J606="L","Light",J606="D","Dark")</f>
        <v>Dark</v>
      </c>
      <c r="P606" t="str">
        <f>_xlfn.XLOOKUP(Orders_table[[#This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_xlfn.IFS(J607="M","Midium",J607="L","Light",J607="D","Dark")</f>
        <v>Light</v>
      </c>
      <c r="P607" t="str">
        <f>_xlfn.XLOOKUP(Orders_table[[#This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_xlfn.IFS(J608="M","Midium",J608="L","Light",J608="D","Dark")</f>
        <v>Light</v>
      </c>
      <c r="P608" t="str">
        <f>_xlfn.XLOOKUP(Orders_table[[#This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_xlfn.IFS(J609="M","Midium",J609="L","Light",J609="D","Dark")</f>
        <v>Dark</v>
      </c>
      <c r="P609" t="str">
        <f>_xlfn.XLOOKUP(Orders_table[[#This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_xlfn.IFS(J610="M","Midium",J610="L","Light",J610="D","Dark")</f>
        <v>Dark</v>
      </c>
      <c r="P610" t="str">
        <f>_xlfn.XLOOKUP(Orders_table[[#This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_xlfn.IFS(J611="M","Midium",J611="L","Light",J611="D","Dark")</f>
        <v>Midium</v>
      </c>
      <c r="P611" t="str">
        <f>_xlfn.XLOOKUP(Orders_table[[#This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_xlfn.IFS(J612="M","Midium",J612="L","Light",J612="D","Dark")</f>
        <v>Midium</v>
      </c>
      <c r="P612" t="str">
        <f>_xlfn.XLOOKUP(Orders_table[[#This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_xlfn.IFS(J613="M","Midium",J613="L","Light",J613="D","Dark")</f>
        <v>Light</v>
      </c>
      <c r="P613" t="str">
        <f>_xlfn.XLOOKUP(Orders_table[[#This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_xlfn.IFS(J614="M","Midium",J614="L","Light",J614="D","Dark")</f>
        <v>Midium</v>
      </c>
      <c r="P614" t="str">
        <f>_xlfn.XLOOKUP(Orders_table[[#This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_xlfn.IFS(J615="M","Midium",J615="L","Light",J615="D","Dark")</f>
        <v>Midium</v>
      </c>
      <c r="P615" t="str">
        <f>_xlfn.XLOOKUP(Orders_table[[#This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_xlfn.IFS(J616="M","Midium",J616="L","Light",J616="D","Dark")</f>
        <v>Midium</v>
      </c>
      <c r="P616" t="str">
        <f>_xlfn.XLOOKUP(Orders_table[[#This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_xlfn.IFS(J617="M","Midium",J617="L","Light",J617="D","Dark")</f>
        <v>Light</v>
      </c>
      <c r="P617" t="str">
        <f>_xlfn.XLOOKUP(Orders_table[[#This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_xlfn.IFS(J618="M","Midium",J618="L","Light",J618="D","Dark")</f>
        <v>Midium</v>
      </c>
      <c r="P618" t="str">
        <f>_xlfn.XLOOKUP(Orders_table[[#This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_xlfn.IFS(J619="M","Midium",J619="L","Light",J619="D","Dark")</f>
        <v>Midium</v>
      </c>
      <c r="P619" t="str">
        <f>_xlfn.XLOOKUP(Orders_table[[#This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_xlfn.IFS(J620="M","Midium",J620="L","Light",J620="D","Dark")</f>
        <v>Dark</v>
      </c>
      <c r="P620" t="str">
        <f>_xlfn.XLOOKUP(Orders_table[[#This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_xlfn.IFS(J621="M","Midium",J621="L","Light",J621="D","Dark")</f>
        <v>Dark</v>
      </c>
      <c r="P621" t="str">
        <f>_xlfn.XLOOKUP(Orders_table[[#This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_xlfn.IFS(J622="M","Midium",J622="L","Light",J622="D","Dark")</f>
        <v>Midium</v>
      </c>
      <c r="P622" t="str">
        <f>_xlfn.XLOOKUP(Orders_table[[#This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_xlfn.IFS(J623="M","Midium",J623="L","Light",J623="D","Dark")</f>
        <v>Light</v>
      </c>
      <c r="P623" t="str">
        <f>_xlfn.XLOOKUP(Orders_table[[#This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_xlfn.IFS(J624="M","Midium",J624="L","Light",J624="D","Dark")</f>
        <v>Midium</v>
      </c>
      <c r="P624" t="str">
        <f>_xlfn.XLOOKUP(Orders_table[[#This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_xlfn.IFS(J625="M","Midium",J625="L","Light",J625="D","Dark")</f>
        <v>Dark</v>
      </c>
      <c r="P625" t="str">
        <f>_xlfn.XLOOKUP(Orders_table[[#This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_xlfn.IFS(J626="M","Midium",J626="L","Light",J626="D","Dark")</f>
        <v>Midium</v>
      </c>
      <c r="P626" t="str">
        <f>_xlfn.XLOOKUP(Orders_table[[#This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_xlfn.IFS(J627="M","Midium",J627="L","Light",J627="D","Dark")</f>
        <v>Light</v>
      </c>
      <c r="P627" t="str">
        <f>_xlfn.XLOOKUP(Orders_table[[#This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_xlfn.IFS(J628="M","Midium",J628="L","Light",J628="D","Dark")</f>
        <v>Midium</v>
      </c>
      <c r="P628" t="str">
        <f>_xlfn.XLOOKUP(Orders_table[[#This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_xlfn.IFS(J629="M","Midium",J629="L","Light",J629="D","Dark")</f>
        <v>Midium</v>
      </c>
      <c r="P629" t="str">
        <f>_xlfn.XLOOKUP(Orders_table[[#This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_xlfn.IFS(J630="M","Midium",J630="L","Light",J630="D","Dark")</f>
        <v>Light</v>
      </c>
      <c r="P630" t="str">
        <f>_xlfn.XLOOKUP(Orders_table[[#This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_xlfn.IFS(J631="M","Midium",J631="L","Light",J631="D","Dark")</f>
        <v>Dark</v>
      </c>
      <c r="P631" t="str">
        <f>_xlfn.XLOOKUP(Orders_table[[#This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_xlfn.IFS(J632="M","Midium",J632="L","Light",J632="D","Dark")</f>
        <v>Dark</v>
      </c>
      <c r="P632" t="str">
        <f>_xlfn.XLOOKUP(Orders_table[[#This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_xlfn.IFS(J633="M","Midium",J633="L","Light",J633="D","Dark")</f>
        <v>Dark</v>
      </c>
      <c r="P633" t="str">
        <f>_xlfn.XLOOKUP(Orders_table[[#This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_xlfn.IFS(J634="M","Midium",J634="L","Light",J634="D","Dark")</f>
        <v>Light</v>
      </c>
      <c r="P634" t="str">
        <f>_xlfn.XLOOKUP(Orders_table[[#This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_xlfn.IFS(J635="M","Midium",J635="L","Light",J635="D","Dark")</f>
        <v>Light</v>
      </c>
      <c r="P635" t="str">
        <f>_xlfn.XLOOKUP(Orders_table[[#This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_xlfn.IFS(J636="M","Midium",J636="L","Light",J636="D","Dark")</f>
        <v>Midium</v>
      </c>
      <c r="P636" t="str">
        <f>_xlfn.XLOOKUP(Orders_table[[#This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_xlfn.IFS(J637="M","Midium",J637="L","Light",J637="D","Dark")</f>
        <v>Light</v>
      </c>
      <c r="P637" t="str">
        <f>_xlfn.XLOOKUP(Orders_table[[#This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_xlfn.IFS(J638="M","Midium",J638="L","Light",J638="D","Dark")</f>
        <v>Light</v>
      </c>
      <c r="P638" t="str">
        <f>_xlfn.XLOOKUP(Orders_table[[#This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_xlfn.IFS(J639="M","Midium",J639="L","Light",J639="D","Dark")</f>
        <v>Midium</v>
      </c>
      <c r="P639" t="str">
        <f>_xlfn.XLOOKUP(Orders_table[[#This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_xlfn.IFS(J640="M","Midium",J640="L","Light",J640="D","Dark")</f>
        <v>Midium</v>
      </c>
      <c r="P640" t="str">
        <f>_xlfn.XLOOKUP(Orders_table[[#This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_xlfn.IFS(J641="M","Midium",J641="L","Light",J641="D","Dark")</f>
        <v>Dark</v>
      </c>
      <c r="P641" t="str">
        <f>_xlfn.XLOOKUP(Orders_table[[#This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_xlfn.IFS(J642="M","Midium",J642="L","Light",J642="D","Dark")</f>
        <v>Light</v>
      </c>
      <c r="P642" t="str">
        <f>_xlfn.XLOOKUP(Orders_table[[#This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_xlfn.IFS(J643="M","Midium",J643="L","Light",J643="D","Dark")</f>
        <v>Light</v>
      </c>
      <c r="P643" t="str">
        <f>_xlfn.XLOOKUP(Orders_table[[#This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_xlfn.IFS(J644="M","Midium",J644="L","Light",J644="D","Dark")</f>
        <v>Midium</v>
      </c>
      <c r="P644" t="str">
        <f>_xlfn.XLOOKUP(Orders_table[[#This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_xlfn.IFS(J645="M","Midium",J645="L","Light",J645="D","Dark")</f>
        <v>Light</v>
      </c>
      <c r="P645" t="str">
        <f>_xlfn.XLOOKUP(Orders_table[[#This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_xlfn.IFS(J646="M","Midium",J646="L","Light",J646="D","Dark")</f>
        <v>Dark</v>
      </c>
      <c r="P646" t="str">
        <f>_xlfn.XLOOKUP(Orders_table[[#This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_xlfn.IFS(J647="M","Midium",J647="L","Light",J647="D","Dark")</f>
        <v>Dark</v>
      </c>
      <c r="P647" t="str">
        <f>_xlfn.XLOOKUP(Orders_table[[#This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_xlfn.IFS(J648="M","Midium",J648="L","Light",J648="D","Dark")</f>
        <v>Dark</v>
      </c>
      <c r="P648" t="str">
        <f>_xlfn.XLOOKUP(Orders_table[[#This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_xlfn.IFS(J649="M","Midium",J649="L","Light",J649="D","Dark")</f>
        <v>Light</v>
      </c>
      <c r="P649" t="str">
        <f>_xlfn.XLOOKUP(Orders_table[[#This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_xlfn.IFS(J650="M","Midium",J650="L","Light",J650="D","Dark")</f>
        <v>Dark</v>
      </c>
      <c r="P650" t="str">
        <f>_xlfn.XLOOKUP(Orders_table[[#This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_xlfn.IFS(J651="M","Midium",J651="L","Light",J651="D","Dark")</f>
        <v>Light</v>
      </c>
      <c r="P651" t="str">
        <f>_xlfn.XLOOKUP(Orders_table[[#This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_xlfn.IFS(J652="M","Midium",J652="L","Light",J652="D","Dark")</f>
        <v>Dark</v>
      </c>
      <c r="P652" t="str">
        <f>_xlfn.XLOOKUP(Orders_table[[#This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_xlfn.IFS(J653="M","Midium",J653="L","Light",J653="D","Dark")</f>
        <v>Light</v>
      </c>
      <c r="P653" t="str">
        <f>_xlfn.XLOOKUP(Orders_table[[#This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_xlfn.IFS(J654="M","Midium",J654="L","Light",J654="D","Dark")</f>
        <v>Light</v>
      </c>
      <c r="P654" t="str">
        <f>_xlfn.XLOOKUP(Orders_table[[#This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_xlfn.IFS(J655="M","Midium",J655="L","Light",J655="D","Dark")</f>
        <v>Midium</v>
      </c>
      <c r="P655" t="str">
        <f>_xlfn.XLOOKUP(Orders_table[[#This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_xlfn.IFS(J656="M","Midium",J656="L","Light",J656="D","Dark")</f>
        <v>Dark</v>
      </c>
      <c r="P656" t="str">
        <f>_xlfn.XLOOKUP(Orders_table[[#This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_xlfn.IFS(J657="M","Midium",J657="L","Light",J657="D","Dark")</f>
        <v>Midium</v>
      </c>
      <c r="P657" t="str">
        <f>_xlfn.XLOOKUP(Orders_table[[#This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_xlfn.IFS(J658="M","Midium",J658="L","Light",J658="D","Dark")</f>
        <v>Dark</v>
      </c>
      <c r="P658" t="str">
        <f>_xlfn.XLOOKUP(Orders_table[[#This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_xlfn.IFS(J659="M","Midium",J659="L","Light",J659="D","Dark")</f>
        <v>Midium</v>
      </c>
      <c r="P659" t="str">
        <f>_xlfn.XLOOKUP(Orders_table[[#This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_xlfn.IFS(J660="M","Midium",J660="L","Light",J660="D","Dark")</f>
        <v>Midium</v>
      </c>
      <c r="P660" t="str">
        <f>_xlfn.XLOOKUP(Orders_table[[#This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_xlfn.IFS(J661="M","Midium",J661="L","Light",J661="D","Dark")</f>
        <v>Dark</v>
      </c>
      <c r="P661" t="str">
        <f>_xlfn.XLOOKUP(Orders_table[[#This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_xlfn.IFS(J662="M","Midium",J662="L","Light",J662="D","Dark")</f>
        <v>Light</v>
      </c>
      <c r="P662" t="str">
        <f>_xlfn.XLOOKUP(Orders_table[[#This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_xlfn.IFS(J663="M","Midium",J663="L","Light",J663="D","Dark")</f>
        <v>Midium</v>
      </c>
      <c r="P663" t="str">
        <f>_xlfn.XLOOKUP(Orders_table[[#This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_xlfn.IFS(J664="M","Midium",J664="L","Light",J664="D","Dark")</f>
        <v>Dark</v>
      </c>
      <c r="P664" t="str">
        <f>_xlfn.XLOOKUP(Orders_table[[#This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_xlfn.IFS(J665="M","Midium",J665="L","Light",J665="D","Dark")</f>
        <v>Midium</v>
      </c>
      <c r="P665" t="str">
        <f>_xlfn.XLOOKUP(Orders_table[[#This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_xlfn.IFS(J666="M","Midium",J666="L","Light",J666="D","Dark")</f>
        <v>Dark</v>
      </c>
      <c r="P666" t="str">
        <f>_xlfn.XLOOKUP(Orders_table[[#This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_xlfn.IFS(J667="M","Midium",J667="L","Light",J667="D","Dark")</f>
        <v>Dark</v>
      </c>
      <c r="P667" t="str">
        <f>_xlfn.XLOOKUP(Orders_table[[#This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_xlfn.IFS(J668="M","Midium",J668="L","Light",J668="D","Dark")</f>
        <v>Dark</v>
      </c>
      <c r="P668" t="str">
        <f>_xlfn.XLOOKUP(Orders_table[[#This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_xlfn.IFS(J669="M","Midium",J669="L","Light",J669="D","Dark")</f>
        <v>Dark</v>
      </c>
      <c r="P669" t="str">
        <f>_xlfn.XLOOKUP(Orders_table[[#This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_xlfn.IFS(J670="M","Midium",J670="L","Light",J670="D","Dark")</f>
        <v>Light</v>
      </c>
      <c r="P670" t="str">
        <f>_xlfn.XLOOKUP(Orders_table[[#This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_xlfn.IFS(J671="M","Midium",J671="L","Light",J671="D","Dark")</f>
        <v>Midium</v>
      </c>
      <c r="P671" t="str">
        <f>_xlfn.XLOOKUP(Orders_table[[#This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_xlfn.IFS(J672="M","Midium",J672="L","Light",J672="D","Dark")</f>
        <v>Midium</v>
      </c>
      <c r="P672" t="str">
        <f>_xlfn.XLOOKUP(Orders_table[[#This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_xlfn.IFS(J673="M","Midium",J673="L","Light",J673="D","Dark")</f>
        <v>Light</v>
      </c>
      <c r="P673" t="str">
        <f>_xlfn.XLOOKUP(Orders_table[[#This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_xlfn.IFS(J674="M","Midium",J674="L","Light",J674="D","Dark")</f>
        <v>Midium</v>
      </c>
      <c r="P674" t="str">
        <f>_xlfn.XLOOKUP(Orders_table[[#This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_xlfn.IFS(J675="M","Midium",J675="L","Light",J675="D","Dark")</f>
        <v>Midium</v>
      </c>
      <c r="P675" t="str">
        <f>_xlfn.XLOOKUP(Orders_table[[#This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_xlfn.IFS(J676="M","Midium",J676="L","Light",J676="D","Dark")</f>
        <v>Light</v>
      </c>
      <c r="P676" t="str">
        <f>_xlfn.XLOOKUP(Orders_table[[#This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_xlfn.IFS(J677="M","Midium",J677="L","Light",J677="D","Dark")</f>
        <v>Dark</v>
      </c>
      <c r="P677" t="str">
        <f>_xlfn.XLOOKUP(Orders_table[[#This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_xlfn.IFS(J678="M","Midium",J678="L","Light",J678="D","Dark")</f>
        <v>Light</v>
      </c>
      <c r="P678" t="str">
        <f>_xlfn.XLOOKUP(Orders_table[[#This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_xlfn.IFS(J679="M","Midium",J679="L","Light",J679="D","Dark")</f>
        <v>Midium</v>
      </c>
      <c r="P679" t="str">
        <f>_xlfn.XLOOKUP(Orders_table[[#This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_xlfn.IFS(J680="M","Midium",J680="L","Light",J680="D","Dark")</f>
        <v>Light</v>
      </c>
      <c r="P680" t="str">
        <f>_xlfn.XLOOKUP(Orders_table[[#This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_xlfn.IFS(J681="M","Midium",J681="L","Light",J681="D","Dark")</f>
        <v>Light</v>
      </c>
      <c r="P681" t="str">
        <f>_xlfn.XLOOKUP(Orders_table[[#This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_xlfn.IFS(J682="M","Midium",J682="L","Light",J682="D","Dark")</f>
        <v>Midium</v>
      </c>
      <c r="P682" t="str">
        <f>_xlfn.XLOOKUP(Orders_table[[#This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_xlfn.IFS(J683="M","Midium",J683="L","Light",J683="D","Dark")</f>
        <v>Light</v>
      </c>
      <c r="P683" t="str">
        <f>_xlfn.XLOOKUP(Orders_table[[#This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_xlfn.IFS(J684="M","Midium",J684="L","Light",J684="D","Dark")</f>
        <v>Midium</v>
      </c>
      <c r="P684" t="str">
        <f>_xlfn.XLOOKUP(Orders_table[[#This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_xlfn.IFS(J685="M","Midium",J685="L","Light",J685="D","Dark")</f>
        <v>Dark</v>
      </c>
      <c r="P685" t="str">
        <f>_xlfn.XLOOKUP(Orders_table[[#This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_xlfn.IFS(J686="M","Midium",J686="L","Light",J686="D","Dark")</f>
        <v>Light</v>
      </c>
      <c r="P686" t="str">
        <f>_xlfn.XLOOKUP(Orders_table[[#This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_xlfn.IFS(J687="M","Midium",J687="L","Light",J687="D","Dark")</f>
        <v>Light</v>
      </c>
      <c r="P687" t="str">
        <f>_xlfn.XLOOKUP(Orders_table[[#This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_xlfn.IFS(J688="M","Midium",J688="L","Light",J688="D","Dark")</f>
        <v>Dark</v>
      </c>
      <c r="P688" t="str">
        <f>_xlfn.XLOOKUP(Orders_table[[#This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_xlfn.IFS(J689="M","Midium",J689="L","Light",J689="D","Dark")</f>
        <v>Midium</v>
      </c>
      <c r="P689" t="str">
        <f>_xlfn.XLOOKUP(Orders_table[[#This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_xlfn.IFS(J690="M","Midium",J690="L","Light",J690="D","Dark")</f>
        <v>Light</v>
      </c>
      <c r="P690" t="str">
        <f>_xlfn.XLOOKUP(Orders_table[[#This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_xlfn.IFS(J691="M","Midium",J691="L","Light",J691="D","Dark")</f>
        <v>Midium</v>
      </c>
      <c r="P691" t="str">
        <f>_xlfn.XLOOKUP(Orders_table[[#This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_xlfn.IFS(J692="M","Midium",J692="L","Light",J692="D","Dark")</f>
        <v>Dark</v>
      </c>
      <c r="P692" t="str">
        <f>_xlfn.XLOOKUP(Orders_table[[#This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_xlfn.IFS(J693="M","Midium",J693="L","Light",J693="D","Dark")</f>
        <v>Midium</v>
      </c>
      <c r="P693" t="str">
        <f>_xlfn.XLOOKUP(Orders_table[[#This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_xlfn.IFS(J694="M","Midium",J694="L","Light",J694="D","Dark")</f>
        <v>Dark</v>
      </c>
      <c r="P694" t="str">
        <f>_xlfn.XLOOKUP(Orders_table[[#This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_xlfn.IFS(J695="M","Midium",J695="L","Light",J695="D","Dark")</f>
        <v>Midium</v>
      </c>
      <c r="P695" t="str">
        <f>_xlfn.XLOOKUP(Orders_table[[#This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_xlfn.IFS(J696="M","Midium",J696="L","Light",J696="D","Dark")</f>
        <v>Dark</v>
      </c>
      <c r="P696" t="str">
        <f>_xlfn.XLOOKUP(Orders_table[[#This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_xlfn.IFS(J697="M","Midium",J697="L","Light",J697="D","Dark")</f>
        <v>Light</v>
      </c>
      <c r="P697" t="str">
        <f>_xlfn.XLOOKUP(Orders_table[[#This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_xlfn.IFS(J698="M","Midium",J698="L","Light",J698="D","Dark")</f>
        <v>Dark</v>
      </c>
      <c r="P698" t="str">
        <f>_xlfn.XLOOKUP(Orders_table[[#This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_xlfn.IFS(J699="M","Midium",J699="L","Light",J699="D","Dark")</f>
        <v>Midium</v>
      </c>
      <c r="P699" t="str">
        <f>_xlfn.XLOOKUP(Orders_table[[#This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_xlfn.IFS(J700="M","Midium",J700="L","Light",J700="D","Dark")</f>
        <v>Dark</v>
      </c>
      <c r="P700" t="str">
        <f>_xlfn.XLOOKUP(Orders_table[[#This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_xlfn.IFS(J701="M","Midium",J701="L","Light",J701="D","Dark")</f>
        <v>Dark</v>
      </c>
      <c r="P701" t="str">
        <f>_xlfn.XLOOKUP(Orders_table[[#This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_xlfn.IFS(J702="M","Midium",J702="L","Light",J702="D","Dark")</f>
        <v>Light</v>
      </c>
      <c r="P702" t="str">
        <f>_xlfn.XLOOKUP(Orders_table[[#This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_xlfn.IFS(J703="M","Midium",J703="L","Light",J703="D","Dark")</f>
        <v>Dark</v>
      </c>
      <c r="P703" t="str">
        <f>_xlfn.XLOOKUP(Orders_table[[#This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_xlfn.IFS(J704="M","Midium",J704="L","Light",J704="D","Dark")</f>
        <v>Light</v>
      </c>
      <c r="P704" t="str">
        <f>_xlfn.XLOOKUP(Orders_table[[#This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_xlfn.IFS(J705="M","Midium",J705="L","Light",J705="D","Dark")</f>
        <v>Dark</v>
      </c>
      <c r="P705" t="str">
        <f>_xlfn.XLOOKUP(Orders_table[[#This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_xlfn.IFS(J706="M","Midium",J706="L","Light",J706="D","Dark")</f>
        <v>Dark</v>
      </c>
      <c r="P706" t="str">
        <f>_xlfn.XLOOKUP(Orders_table[[#This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_xlfn.IFS(J707="M","Midium",J707="L","Light",J707="D","Dark")</f>
        <v>Light</v>
      </c>
      <c r="P707" t="str">
        <f>_xlfn.XLOOKUP(Orders_table[[#This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_xlfn.IFS(J708="M","Midium",J708="L","Light",J708="D","Dark")</f>
        <v>Midium</v>
      </c>
      <c r="P708" t="str">
        <f>_xlfn.XLOOKUP(Orders_table[[#This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_xlfn.IFS(J709="M","Midium",J709="L","Light",J709="D","Dark")</f>
        <v>Dark</v>
      </c>
      <c r="P709" t="str">
        <f>_xlfn.XLOOKUP(Orders_table[[#This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_xlfn.IFS(J710="M","Midium",J710="L","Light",J710="D","Dark")</f>
        <v>Midium</v>
      </c>
      <c r="P710" t="str">
        <f>_xlfn.XLOOKUP(Orders_table[[#This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_xlfn.IFS(J711="M","Midium",J711="L","Light",J711="D","Dark")</f>
        <v>Light</v>
      </c>
      <c r="P711" t="str">
        <f>_xlfn.XLOOKUP(Orders_table[[#This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_xlfn.IFS(J712="M","Midium",J712="L","Light",J712="D","Dark")</f>
        <v>Midium</v>
      </c>
      <c r="P712" t="str">
        <f>_xlfn.XLOOKUP(Orders_table[[#This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_xlfn.IFS(J713="M","Midium",J713="L","Light",J713="D","Dark")</f>
        <v>Midium</v>
      </c>
      <c r="P713" t="str">
        <f>_xlfn.XLOOKUP(Orders_table[[#This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_xlfn.IFS(J714="M","Midium",J714="L","Light",J714="D","Dark")</f>
        <v>Midium</v>
      </c>
      <c r="P714" t="str">
        <f>_xlfn.XLOOKUP(Orders_table[[#This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_xlfn.IFS(J715="M","Midium",J715="L","Light",J715="D","Dark")</f>
        <v>Midium</v>
      </c>
      <c r="P715" t="str">
        <f>_xlfn.XLOOKUP(Orders_table[[#This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_xlfn.IFS(J716="M","Midium",J716="L","Light",J716="D","Dark")</f>
        <v>Dark</v>
      </c>
      <c r="P716" t="str">
        <f>_xlfn.XLOOKUP(Orders_table[[#This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_xlfn.IFS(J717="M","Midium",J717="L","Light",J717="D","Dark")</f>
        <v>Light</v>
      </c>
      <c r="P717" t="str">
        <f>_xlfn.XLOOKUP(Orders_table[[#This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_xlfn.IFS(J718="M","Midium",J718="L","Light",J718="D","Dark")</f>
        <v>Light</v>
      </c>
      <c r="P718" t="str">
        <f>_xlfn.XLOOKUP(Orders_table[[#This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_xlfn.IFS(J719="M","Midium",J719="L","Light",J719="D","Dark")</f>
        <v>Dark</v>
      </c>
      <c r="P719" t="str">
        <f>_xlfn.XLOOKUP(Orders_table[[#This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_xlfn.IFS(J720="M","Midium",J720="L","Light",J720="D","Dark")</f>
        <v>Dark</v>
      </c>
      <c r="P720" t="str">
        <f>_xlfn.XLOOKUP(Orders_table[[#This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_xlfn.IFS(J721="M","Midium",J721="L","Light",J721="D","Dark")</f>
        <v>Light</v>
      </c>
      <c r="P721" t="str">
        <f>_xlfn.XLOOKUP(Orders_table[[#This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_xlfn.IFS(J722="M","Midium",J722="L","Light",J722="D","Dark")</f>
        <v>Dark</v>
      </c>
      <c r="P722" t="str">
        <f>_xlfn.XLOOKUP(Orders_table[[#This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_xlfn.IFS(J723="M","Midium",J723="L","Light",J723="D","Dark")</f>
        <v>Midium</v>
      </c>
      <c r="P723" t="str">
        <f>_xlfn.XLOOKUP(Orders_table[[#This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_xlfn.IFS(J724="M","Midium",J724="L","Light",J724="D","Dark")</f>
        <v>Dark</v>
      </c>
      <c r="P724" t="str">
        <f>_xlfn.XLOOKUP(Orders_table[[#This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_xlfn.IFS(J725="M","Midium",J725="L","Light",J725="D","Dark")</f>
        <v>Midium</v>
      </c>
      <c r="P725" t="str">
        <f>_xlfn.XLOOKUP(Orders_table[[#This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_xlfn.IFS(J726="M","Midium",J726="L","Light",J726="D","Dark")</f>
        <v>Midium</v>
      </c>
      <c r="P726" t="str">
        <f>_xlfn.XLOOKUP(Orders_table[[#This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_xlfn.IFS(J727="M","Midium",J727="L","Light",J727="D","Dark")</f>
        <v>Light</v>
      </c>
      <c r="P727" t="str">
        <f>_xlfn.XLOOKUP(Orders_table[[#This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_xlfn.IFS(J728="M","Midium",J728="L","Light",J728="D","Dark")</f>
        <v>Light</v>
      </c>
      <c r="P728" t="str">
        <f>_xlfn.XLOOKUP(Orders_table[[#This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_xlfn.IFS(J729="M","Midium",J729="L","Light",J729="D","Dark")</f>
        <v>Midium</v>
      </c>
      <c r="P729" t="str">
        <f>_xlfn.XLOOKUP(Orders_table[[#This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_xlfn.IFS(J730="M","Midium",J730="L","Light",J730="D","Dark")</f>
        <v>Dark</v>
      </c>
      <c r="P730" t="str">
        <f>_xlfn.XLOOKUP(Orders_table[[#This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_xlfn.IFS(J731="M","Midium",J731="L","Light",J731="D","Dark")</f>
        <v>Midium</v>
      </c>
      <c r="P731" t="str">
        <f>_xlfn.XLOOKUP(Orders_table[[#This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_xlfn.IFS(J732="M","Midium",J732="L","Light",J732="D","Dark")</f>
        <v>Light</v>
      </c>
      <c r="P732" t="str">
        <f>_xlfn.XLOOKUP(Orders_table[[#This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_xlfn.IFS(J733="M","Midium",J733="L","Light",J733="D","Dark")</f>
        <v>Dark</v>
      </c>
      <c r="P733" t="str">
        <f>_xlfn.XLOOKUP(Orders_table[[#This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_xlfn.IFS(J734="M","Midium",J734="L","Light",J734="D","Dark")</f>
        <v>Light</v>
      </c>
      <c r="P734" t="str">
        <f>_xlfn.XLOOKUP(Orders_table[[#This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_xlfn.IFS(J735="M","Midium",J735="L","Light",J735="D","Dark")</f>
        <v>Midium</v>
      </c>
      <c r="P735" t="str">
        <f>_xlfn.XLOOKUP(Orders_table[[#This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_xlfn.IFS(J736="M","Midium",J736="L","Light",J736="D","Dark")</f>
        <v>Dark</v>
      </c>
      <c r="P736" t="str">
        <f>_xlfn.XLOOKUP(Orders_table[[#This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_xlfn.IFS(J737="M","Midium",J737="L","Light",J737="D","Dark")</f>
        <v>Dark</v>
      </c>
      <c r="P737" t="str">
        <f>_xlfn.XLOOKUP(Orders_table[[#This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_xlfn.IFS(J738="M","Midium",J738="L","Light",J738="D","Dark")</f>
        <v>Dark</v>
      </c>
      <c r="P738" t="str">
        <f>_xlfn.XLOOKUP(Orders_table[[#This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_xlfn.IFS(J739="M","Midium",J739="L","Light",J739="D","Dark")</f>
        <v>Midium</v>
      </c>
      <c r="P739" t="str">
        <f>_xlfn.XLOOKUP(Orders_table[[#This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_xlfn.IFS(J740="M","Midium",J740="L","Light",J740="D","Dark")</f>
        <v>Light</v>
      </c>
      <c r="P740" t="str">
        <f>_xlfn.XLOOKUP(Orders_table[[#This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_xlfn.IFS(J741="M","Midium",J741="L","Light",J741="D","Dark")</f>
        <v>Dark</v>
      </c>
      <c r="P741" t="str">
        <f>_xlfn.XLOOKUP(Orders_table[[#This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_xlfn.IFS(J742="M","Midium",J742="L","Light",J742="D","Dark")</f>
        <v>Light</v>
      </c>
      <c r="P742" t="str">
        <f>_xlfn.XLOOKUP(Orders_table[[#This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_xlfn.IFS(J743="M","Midium",J743="L","Light",J743="D","Dark")</f>
        <v>Midium</v>
      </c>
      <c r="P743" t="str">
        <f>_xlfn.XLOOKUP(Orders_table[[#This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_xlfn.IFS(J744="M","Midium",J744="L","Light",J744="D","Dark")</f>
        <v>Midium</v>
      </c>
      <c r="P744" t="str">
        <f>_xlfn.XLOOKUP(Orders_table[[#This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_xlfn.IFS(J745="M","Midium",J745="L","Light",J745="D","Dark")</f>
        <v>Dark</v>
      </c>
      <c r="P745" t="str">
        <f>_xlfn.XLOOKUP(Orders_table[[#This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_xlfn.IFS(J746="M","Midium",J746="L","Light",J746="D","Dark")</f>
        <v>Midium</v>
      </c>
      <c r="P746" t="str">
        <f>_xlfn.XLOOKUP(Orders_table[[#This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_xlfn.IFS(J747="M","Midium",J747="L","Light",J747="D","Dark")</f>
        <v>Dark</v>
      </c>
      <c r="P747" t="str">
        <f>_xlfn.XLOOKUP(Orders_table[[#This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_xlfn.IFS(J748="M","Midium",J748="L","Light",J748="D","Dark")</f>
        <v>Midium</v>
      </c>
      <c r="P748" t="str">
        <f>_xlfn.XLOOKUP(Orders_table[[#This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_xlfn.IFS(J749="M","Midium",J749="L","Light",J749="D","Dark")</f>
        <v>Midium</v>
      </c>
      <c r="P749" t="str">
        <f>_xlfn.XLOOKUP(Orders_table[[#This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_xlfn.IFS(J750="M","Midium",J750="L","Light",J750="D","Dark")</f>
        <v>Dark</v>
      </c>
      <c r="P750" t="str">
        <f>_xlfn.XLOOKUP(Orders_table[[#This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_xlfn.IFS(J751="M","Midium",J751="L","Light",J751="D","Dark")</f>
        <v>Dark</v>
      </c>
      <c r="P751" t="str">
        <f>_xlfn.XLOOKUP(Orders_table[[#This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_xlfn.IFS(J752="M","Midium",J752="L","Light",J752="D","Dark")</f>
        <v>Midium</v>
      </c>
      <c r="P752" t="str">
        <f>_xlfn.XLOOKUP(Orders_table[[#This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_xlfn.IFS(J753="M","Midium",J753="L","Light",J753="D","Dark")</f>
        <v>Light</v>
      </c>
      <c r="P753" t="str">
        <f>_xlfn.XLOOKUP(Orders_table[[#This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_xlfn.IFS(J754="M","Midium",J754="L","Light",J754="D","Dark")</f>
        <v>Midium</v>
      </c>
      <c r="P754" t="str">
        <f>_xlfn.XLOOKUP(Orders_table[[#This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_xlfn.IFS(J755="M","Midium",J755="L","Light",J755="D","Dark")</f>
        <v>Dark</v>
      </c>
      <c r="P755" t="str">
        <f>_xlfn.XLOOKUP(Orders_table[[#This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_xlfn.IFS(J756="M","Midium",J756="L","Light",J756="D","Dark")</f>
        <v>Dark</v>
      </c>
      <c r="P756" t="str">
        <f>_xlfn.XLOOKUP(Orders_table[[#This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_xlfn.IFS(J757="M","Midium",J757="L","Light",J757="D","Dark")</f>
        <v>Light</v>
      </c>
      <c r="P757" t="str">
        <f>_xlfn.XLOOKUP(Orders_table[[#This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_xlfn.IFS(J758="M","Midium",J758="L","Light",J758="D","Dark")</f>
        <v>Dark</v>
      </c>
      <c r="P758" t="str">
        <f>_xlfn.XLOOKUP(Orders_table[[#This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_xlfn.IFS(J759="M","Midium",J759="L","Light",J759="D","Dark")</f>
        <v>Dark</v>
      </c>
      <c r="P759" t="str">
        <f>_xlfn.XLOOKUP(Orders_table[[#This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_xlfn.IFS(J760="M","Midium",J760="L","Light",J760="D","Dark")</f>
        <v>Dark</v>
      </c>
      <c r="P760" t="str">
        <f>_xlfn.XLOOKUP(Orders_table[[#This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_xlfn.IFS(J761="M","Midium",J761="L","Light",J761="D","Dark")</f>
        <v>Dark</v>
      </c>
      <c r="P761" t="str">
        <f>_xlfn.XLOOKUP(Orders_table[[#This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_xlfn.IFS(J762="M","Midium",J762="L","Light",J762="D","Dark")</f>
        <v>Light</v>
      </c>
      <c r="P762" t="str">
        <f>_xlfn.XLOOKUP(Orders_table[[#This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_xlfn.IFS(J763="M","Midium",J763="L","Light",J763="D","Dark")</f>
        <v>Light</v>
      </c>
      <c r="P763" t="str">
        <f>_xlfn.XLOOKUP(Orders_table[[#This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_xlfn.IFS(J764="M","Midium",J764="L","Light",J764="D","Dark")</f>
        <v>Midium</v>
      </c>
      <c r="P764" t="str">
        <f>_xlfn.XLOOKUP(Orders_table[[#This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_xlfn.IFS(J765="M","Midium",J765="L","Light",J765="D","Dark")</f>
        <v>Light</v>
      </c>
      <c r="P765" t="str">
        <f>_xlfn.XLOOKUP(Orders_table[[#This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_xlfn.IFS(J766="M","Midium",J766="L","Light",J766="D","Dark")</f>
        <v>Light</v>
      </c>
      <c r="P766" t="str">
        <f>_xlfn.XLOOKUP(Orders_table[[#This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_xlfn.IFS(J767="M","Midium",J767="L","Light",J767="D","Dark")</f>
        <v>Midium</v>
      </c>
      <c r="P767" t="str">
        <f>_xlfn.XLOOKUP(Orders_table[[#This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_xlfn.IFS(J768="M","Midium",J768="L","Light",J768="D","Dark")</f>
        <v>Light</v>
      </c>
      <c r="P768" t="str">
        <f>_xlfn.XLOOKUP(Orders_table[[#This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_xlfn.IFS(J769="M","Midium",J769="L","Light",J769="D","Dark")</f>
        <v>Light</v>
      </c>
      <c r="P769" t="str">
        <f>_xlfn.XLOOKUP(Orders_table[[#This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_xlfn.IFS(J770="M","Midium",J770="L","Light",J770="D","Dark")</f>
        <v>Light</v>
      </c>
      <c r="P770" t="str">
        <f>_xlfn.XLOOKUP(Orders_table[[#This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_xlfn.IFS(J771="M","Midium",J771="L","Light",J771="D","Dark")</f>
        <v>Midium</v>
      </c>
      <c r="P771" t="str">
        <f>_xlfn.XLOOKUP(Orders_table[[#This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_xlfn.IFS(J772="M","Midium",J772="L","Light",J772="D","Dark")</f>
        <v>Dark</v>
      </c>
      <c r="P772" t="str">
        <f>_xlfn.XLOOKUP(Orders_table[[#This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_xlfn.IFS(J773="M","Midium",J773="L","Light",J773="D","Dark")</f>
        <v>Light</v>
      </c>
      <c r="P773" t="str">
        <f>_xlfn.XLOOKUP(Orders_table[[#This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_xlfn.IFS(J774="M","Midium",J774="L","Light",J774="D","Dark")</f>
        <v>Midium</v>
      </c>
      <c r="P774" t="str">
        <f>_xlfn.XLOOKUP(Orders_table[[#This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_xlfn.IFS(J775="M","Midium",J775="L","Light",J775="D","Dark")</f>
        <v>Midium</v>
      </c>
      <c r="P775" t="str">
        <f>_xlfn.XLOOKUP(Orders_table[[#This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_xlfn.IFS(J776="M","Midium",J776="L","Light",J776="D","Dark")</f>
        <v>Midium</v>
      </c>
      <c r="P776" t="str">
        <f>_xlfn.XLOOKUP(Orders_table[[#This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_xlfn.IFS(J777="M","Midium",J777="L","Light",J777="D","Dark")</f>
        <v>Light</v>
      </c>
      <c r="P777" t="str">
        <f>_xlfn.XLOOKUP(Orders_table[[#This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_xlfn.IFS(J778="M","Midium",J778="L","Light",J778="D","Dark")</f>
        <v>Midium</v>
      </c>
      <c r="P778" t="str">
        <f>_xlfn.XLOOKUP(Orders_table[[#This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_xlfn.IFS(J779="M","Midium",J779="L","Light",J779="D","Dark")</f>
        <v>Light</v>
      </c>
      <c r="P779" t="str">
        <f>_xlfn.XLOOKUP(Orders_table[[#This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_xlfn.IFS(J780="M","Midium",J780="L","Light",J780="D","Dark")</f>
        <v>Light</v>
      </c>
      <c r="P780" t="str">
        <f>_xlfn.XLOOKUP(Orders_table[[#This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_xlfn.IFS(J781="M","Midium",J781="L","Light",J781="D","Dark")</f>
        <v>Dark</v>
      </c>
      <c r="P781" t="str">
        <f>_xlfn.XLOOKUP(Orders_table[[#This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_xlfn.IFS(J782="M","Midium",J782="L","Light",J782="D","Dark")</f>
        <v>Midium</v>
      </c>
      <c r="P782" t="str">
        <f>_xlfn.XLOOKUP(Orders_table[[#This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_xlfn.IFS(J783="M","Midium",J783="L","Light",J783="D","Dark")</f>
        <v>Light</v>
      </c>
      <c r="P783" t="str">
        <f>_xlfn.XLOOKUP(Orders_table[[#This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_xlfn.IFS(J784="M","Midium",J784="L","Light",J784="D","Dark")</f>
        <v>Light</v>
      </c>
      <c r="P784" t="str">
        <f>_xlfn.XLOOKUP(Orders_table[[#This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_xlfn.IFS(J785="M","Midium",J785="L","Light",J785="D","Dark")</f>
        <v>Midium</v>
      </c>
      <c r="P785" t="str">
        <f>_xlfn.XLOOKUP(Orders_table[[#This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_xlfn.IFS(J786="M","Midium",J786="L","Light",J786="D","Dark")</f>
        <v>Light</v>
      </c>
      <c r="P786" t="str">
        <f>_xlfn.XLOOKUP(Orders_table[[#This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_xlfn.IFS(J787="M","Midium",J787="L","Light",J787="D","Dark")</f>
        <v>Dark</v>
      </c>
      <c r="P787" t="str">
        <f>_xlfn.XLOOKUP(Orders_table[[#This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_xlfn.IFS(J788="M","Midium",J788="L","Light",J788="D","Dark")</f>
        <v>Dark</v>
      </c>
      <c r="P788" t="str">
        <f>_xlfn.XLOOKUP(Orders_table[[#This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_xlfn.IFS(J789="M","Midium",J789="L","Light",J789="D","Dark")</f>
        <v>Midium</v>
      </c>
      <c r="P789" t="str">
        <f>_xlfn.XLOOKUP(Orders_table[[#This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_xlfn.IFS(J790="M","Midium",J790="L","Light",J790="D","Dark")</f>
        <v>Midium</v>
      </c>
      <c r="P790" t="str">
        <f>_xlfn.XLOOKUP(Orders_table[[#This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_xlfn.IFS(J791="M","Midium",J791="L","Light",J791="D","Dark")</f>
        <v>Light</v>
      </c>
      <c r="P791" t="str">
        <f>_xlfn.XLOOKUP(Orders_table[[#This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_xlfn.IFS(J792="M","Midium",J792="L","Light",J792="D","Dark")</f>
        <v>Light</v>
      </c>
      <c r="P792" t="str">
        <f>_xlfn.XLOOKUP(Orders_table[[#This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_xlfn.IFS(J793="M","Midium",J793="L","Light",J793="D","Dark")</f>
        <v>Light</v>
      </c>
      <c r="P793" t="str">
        <f>_xlfn.XLOOKUP(Orders_table[[#This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_xlfn.IFS(J794="M","Midium",J794="L","Light",J794="D","Dark")</f>
        <v>Midium</v>
      </c>
      <c r="P794" t="str">
        <f>_xlfn.XLOOKUP(Orders_table[[#This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_xlfn.IFS(J795="M","Midium",J795="L","Light",J795="D","Dark")</f>
        <v>Light</v>
      </c>
      <c r="P795" t="str">
        <f>_xlfn.XLOOKUP(Orders_table[[#This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_xlfn.IFS(J796="M","Midium",J796="L","Light",J796="D","Dark")</f>
        <v>Light</v>
      </c>
      <c r="P796" t="str">
        <f>_xlfn.XLOOKUP(Orders_table[[#This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_xlfn.IFS(J797="M","Midium",J797="L","Light",J797="D","Dark")</f>
        <v>Light</v>
      </c>
      <c r="P797" t="str">
        <f>_xlfn.XLOOKUP(Orders_table[[#This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_xlfn.IFS(J798="M","Midium",J798="L","Light",J798="D","Dark")</f>
        <v>Light</v>
      </c>
      <c r="P798" t="str">
        <f>_xlfn.XLOOKUP(Orders_table[[#This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_xlfn.IFS(J799="M","Midium",J799="L","Light",J799="D","Dark")</f>
        <v>Light</v>
      </c>
      <c r="P799" t="str">
        <f>_xlfn.XLOOKUP(Orders_table[[#This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_xlfn.IFS(J800="M","Midium",J800="L","Light",J800="D","Dark")</f>
        <v>Dark</v>
      </c>
      <c r="P800" t="str">
        <f>_xlfn.XLOOKUP(Orders_table[[#This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_xlfn.IFS(J801="M","Midium",J801="L","Light",J801="D","Dark")</f>
        <v>Dark</v>
      </c>
      <c r="P801" t="str">
        <f>_xlfn.XLOOKUP(Orders_table[[#This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_xlfn.IFS(J802="M","Midium",J802="L","Light",J802="D","Dark")</f>
        <v>Dark</v>
      </c>
      <c r="P802" t="str">
        <f>_xlfn.XLOOKUP(Orders_table[[#This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_xlfn.IFS(J803="M","Midium",J803="L","Light",J803="D","Dark")</f>
        <v>Dark</v>
      </c>
      <c r="P803" t="str">
        <f>_xlfn.XLOOKUP(Orders_table[[#This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_xlfn.IFS(J804="M","Midium",J804="L","Light",J804="D","Dark")</f>
        <v>Dark</v>
      </c>
      <c r="P804" t="str">
        <f>_xlfn.XLOOKUP(Orders_table[[#This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_xlfn.IFS(J805="M","Midium",J805="L","Light",J805="D","Dark")</f>
        <v>Midium</v>
      </c>
      <c r="P805" t="str">
        <f>_xlfn.XLOOKUP(Orders_table[[#This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_xlfn.IFS(J806="M","Midium",J806="L","Light",J806="D","Dark")</f>
        <v>Light</v>
      </c>
      <c r="P806" t="str">
        <f>_xlfn.XLOOKUP(Orders_table[[#This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_xlfn.IFS(J807="M","Midium",J807="L","Light",J807="D","Dark")</f>
        <v>Midium</v>
      </c>
      <c r="P807" t="str">
        <f>_xlfn.XLOOKUP(Orders_table[[#This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_xlfn.IFS(J808="M","Midium",J808="L","Light",J808="D","Dark")</f>
        <v>Dark</v>
      </c>
      <c r="P808" t="str">
        <f>_xlfn.XLOOKUP(Orders_table[[#This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_xlfn.IFS(J809="M","Midium",J809="L","Light",J809="D","Dark")</f>
        <v>Dark</v>
      </c>
      <c r="P809" t="str">
        <f>_xlfn.XLOOKUP(Orders_table[[#This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_xlfn.IFS(J810="M","Midium",J810="L","Light",J810="D","Dark")</f>
        <v>Light</v>
      </c>
      <c r="P810" t="str">
        <f>_xlfn.XLOOKUP(Orders_table[[#This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_xlfn.IFS(J811="M","Midium",J811="L","Light",J811="D","Dark")</f>
        <v>Dark</v>
      </c>
      <c r="P811" t="str">
        <f>_xlfn.XLOOKUP(Orders_table[[#This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_xlfn.IFS(J812="M","Midium",J812="L","Light",J812="D","Dark")</f>
        <v>Light</v>
      </c>
      <c r="P812" t="str">
        <f>_xlfn.XLOOKUP(Orders_table[[#This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_xlfn.IFS(J813="M","Midium",J813="L","Light",J813="D","Dark")</f>
        <v>Midium</v>
      </c>
      <c r="P813" t="str">
        <f>_xlfn.XLOOKUP(Orders_table[[#This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_xlfn.IFS(J814="M","Midium",J814="L","Light",J814="D","Dark")</f>
        <v>Dark</v>
      </c>
      <c r="P814" t="str">
        <f>_xlfn.XLOOKUP(Orders_table[[#This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_xlfn.IFS(J815="M","Midium",J815="L","Light",J815="D","Dark")</f>
        <v>Midium</v>
      </c>
      <c r="P815" t="str">
        <f>_xlfn.XLOOKUP(Orders_table[[#This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_xlfn.IFS(J816="M","Midium",J816="L","Light",J816="D","Dark")</f>
        <v>Light</v>
      </c>
      <c r="P816" t="str">
        <f>_xlfn.XLOOKUP(Orders_table[[#This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_xlfn.IFS(J817="M","Midium",J817="L","Light",J817="D","Dark")</f>
        <v>Midium</v>
      </c>
      <c r="P817" t="str">
        <f>_xlfn.XLOOKUP(Orders_table[[#This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_xlfn.IFS(J818="M","Midium",J818="L","Light",J818="D","Dark")</f>
        <v>Light</v>
      </c>
      <c r="P818" t="str">
        <f>_xlfn.XLOOKUP(Orders_table[[#This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_xlfn.IFS(J819="M","Midium",J819="L","Light",J819="D","Dark")</f>
        <v>Dark</v>
      </c>
      <c r="P819" t="str">
        <f>_xlfn.XLOOKUP(Orders_table[[#This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_xlfn.IFS(J820="M","Midium",J820="L","Light",J820="D","Dark")</f>
        <v>Light</v>
      </c>
      <c r="P820" t="str">
        <f>_xlfn.XLOOKUP(Orders_table[[#This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_xlfn.IFS(J821="M","Midium",J821="L","Light",J821="D","Dark")</f>
        <v>Light</v>
      </c>
      <c r="P821" t="str">
        <f>_xlfn.XLOOKUP(Orders_table[[#This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_xlfn.IFS(J822="M","Midium",J822="L","Light",J822="D","Dark")</f>
        <v>Midium</v>
      </c>
      <c r="P822" t="str">
        <f>_xlfn.XLOOKUP(Orders_table[[#This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_xlfn.IFS(J823="M","Midium",J823="L","Light",J823="D","Dark")</f>
        <v>Dark</v>
      </c>
      <c r="P823" t="str">
        <f>_xlfn.XLOOKUP(Orders_table[[#This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_xlfn.IFS(J824="M","Midium",J824="L","Light",J824="D","Dark")</f>
        <v>Light</v>
      </c>
      <c r="P824" t="str">
        <f>_xlfn.XLOOKUP(Orders_table[[#This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_xlfn.IFS(J825="M","Midium",J825="L","Light",J825="D","Dark")</f>
        <v>Light</v>
      </c>
      <c r="P825" t="str">
        <f>_xlfn.XLOOKUP(Orders_table[[#This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_xlfn.IFS(J826="M","Midium",J826="L","Light",J826="D","Dark")</f>
        <v>Midium</v>
      </c>
      <c r="P826" t="str">
        <f>_xlfn.XLOOKUP(Orders_table[[#This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_xlfn.IFS(J827="M","Midium",J827="L","Light",J827="D","Dark")</f>
        <v>Dark</v>
      </c>
      <c r="P827" t="str">
        <f>_xlfn.XLOOKUP(Orders_table[[#This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_xlfn.IFS(J828="M","Midium",J828="L","Light",J828="D","Dark")</f>
        <v>Midium</v>
      </c>
      <c r="P828" t="str">
        <f>_xlfn.XLOOKUP(Orders_table[[#This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_xlfn.IFS(J829="M","Midium",J829="L","Light",J829="D","Dark")</f>
        <v>Midium</v>
      </c>
      <c r="P829" t="str">
        <f>_xlfn.XLOOKUP(Orders_table[[#This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_xlfn.IFS(J830="M","Midium",J830="L","Light",J830="D","Dark")</f>
        <v>Dark</v>
      </c>
      <c r="P830" t="str">
        <f>_xlfn.XLOOKUP(Orders_table[[#This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_xlfn.IFS(J831="M","Midium",J831="L","Light",J831="D","Dark")</f>
        <v>Dark</v>
      </c>
      <c r="P831" t="str">
        <f>_xlfn.XLOOKUP(Orders_table[[#This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_xlfn.IFS(J832="M","Midium",J832="L","Light",J832="D","Dark")</f>
        <v>Midium</v>
      </c>
      <c r="P832" t="str">
        <f>_xlfn.XLOOKUP(Orders_table[[#This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_xlfn.IFS(J833="M","Midium",J833="L","Light",J833="D","Dark")</f>
        <v>Dark</v>
      </c>
      <c r="P833" t="str">
        <f>_xlfn.XLOOKUP(Orders_table[[#This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_xlfn.IFS(J834="M","Midium",J834="L","Light",J834="D","Dark")</f>
        <v>Midium</v>
      </c>
      <c r="P834" t="str">
        <f>_xlfn.XLOOKUP(Orders_table[[#This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_xlfn.IFS(J835="M","Midium",J835="L","Light",J835="D","Dark")</f>
        <v>Dark</v>
      </c>
      <c r="P835" t="str">
        <f>_xlfn.XLOOKUP(Orders_table[[#This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_xlfn.IFS(J836="M","Midium",J836="L","Light",J836="D","Dark")</f>
        <v>Dark</v>
      </c>
      <c r="P836" t="str">
        <f>_xlfn.XLOOKUP(Orders_table[[#This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_xlfn.IFS(J837="M","Midium",J837="L","Light",J837="D","Dark")</f>
        <v>Light</v>
      </c>
      <c r="P837" t="str">
        <f>_xlfn.XLOOKUP(Orders_table[[#This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_xlfn.IFS(J838="M","Midium",J838="L","Light",J838="D","Dark")</f>
        <v>Dark</v>
      </c>
      <c r="P838" t="str">
        <f>_xlfn.XLOOKUP(Orders_table[[#This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_xlfn.IFS(J839="M","Midium",J839="L","Light",J839="D","Dark")</f>
        <v>Midium</v>
      </c>
      <c r="P839" t="str">
        <f>_xlfn.XLOOKUP(Orders_table[[#This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_xlfn.IFS(J840="M","Midium",J840="L","Light",J840="D","Dark")</f>
        <v>Dark</v>
      </c>
      <c r="P840" t="str">
        <f>_xlfn.XLOOKUP(Orders_table[[#This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_xlfn.IFS(J841="M","Midium",J841="L","Light",J841="D","Dark")</f>
        <v>Midium</v>
      </c>
      <c r="P841" t="str">
        <f>_xlfn.XLOOKUP(Orders_table[[#This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_xlfn.IFS(J842="M","Midium",J842="L","Light",J842="D","Dark")</f>
        <v>Light</v>
      </c>
      <c r="P842" t="str">
        <f>_xlfn.XLOOKUP(Orders_table[[#This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_xlfn.IFS(J843="M","Midium",J843="L","Light",J843="D","Dark")</f>
        <v>Midium</v>
      </c>
      <c r="P843" t="str">
        <f>_xlfn.XLOOKUP(Orders_table[[#This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_xlfn.IFS(J844="M","Midium",J844="L","Light",J844="D","Dark")</f>
        <v>Midium</v>
      </c>
      <c r="P844" t="str">
        <f>_xlfn.XLOOKUP(Orders_table[[#This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_xlfn.IFS(J845="M","Midium",J845="L","Light",J845="D","Dark")</f>
        <v>Midium</v>
      </c>
      <c r="P845" t="str">
        <f>_xlfn.XLOOKUP(Orders_table[[#This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_xlfn.IFS(J846="M","Midium",J846="L","Light",J846="D","Dark")</f>
        <v>Dark</v>
      </c>
      <c r="P846" t="str">
        <f>_xlfn.XLOOKUP(Orders_table[[#This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_xlfn.IFS(J847="M","Midium",J847="L","Light",J847="D","Dark")</f>
        <v>Dark</v>
      </c>
      <c r="P847" t="str">
        <f>_xlfn.XLOOKUP(Orders_table[[#This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_xlfn.IFS(J848="M","Midium",J848="L","Light",J848="D","Dark")</f>
        <v>Midium</v>
      </c>
      <c r="P848" t="str">
        <f>_xlfn.XLOOKUP(Orders_table[[#This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_xlfn.IFS(J849="M","Midium",J849="L","Light",J849="D","Dark")</f>
        <v>Dark</v>
      </c>
      <c r="P849" t="str">
        <f>_xlfn.XLOOKUP(Orders_table[[#This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_xlfn.IFS(J850="M","Midium",J850="L","Light",J850="D","Dark")</f>
        <v>Light</v>
      </c>
      <c r="P850" t="str">
        <f>_xlfn.XLOOKUP(Orders_table[[#This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_xlfn.IFS(J851="M","Midium",J851="L","Light",J851="D","Dark")</f>
        <v>Light</v>
      </c>
      <c r="P851" t="str">
        <f>_xlfn.XLOOKUP(Orders_table[[#This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_xlfn.IFS(J852="M","Midium",J852="L","Light",J852="D","Dark")</f>
        <v>Midium</v>
      </c>
      <c r="P852" t="str">
        <f>_xlfn.XLOOKUP(Orders_table[[#This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_xlfn.IFS(J853="M","Midium",J853="L","Light",J853="D","Dark")</f>
        <v>Dark</v>
      </c>
      <c r="P853" t="str">
        <f>_xlfn.XLOOKUP(Orders_table[[#This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_xlfn.IFS(J854="M","Midium",J854="L","Light",J854="D","Dark")</f>
        <v>Dark</v>
      </c>
      <c r="P854" t="str">
        <f>_xlfn.XLOOKUP(Orders_table[[#This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_xlfn.IFS(J855="M","Midium",J855="L","Light",J855="D","Dark")</f>
        <v>Dark</v>
      </c>
      <c r="P855" t="str">
        <f>_xlfn.XLOOKUP(Orders_table[[#This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_xlfn.IFS(J856="M","Midium",J856="L","Light",J856="D","Dark")</f>
        <v>Light</v>
      </c>
      <c r="P856" t="str">
        <f>_xlfn.XLOOKUP(Orders_table[[#This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_xlfn.IFS(J857="M","Midium",J857="L","Light",J857="D","Dark")</f>
        <v>Dark</v>
      </c>
      <c r="P857" t="str">
        <f>_xlfn.XLOOKUP(Orders_table[[#This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_xlfn.IFS(J858="M","Midium",J858="L","Light",J858="D","Dark")</f>
        <v>Midium</v>
      </c>
      <c r="P858" t="str">
        <f>_xlfn.XLOOKUP(Orders_table[[#This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_xlfn.IFS(J859="M","Midium",J859="L","Light",J859="D","Dark")</f>
        <v>Light</v>
      </c>
      <c r="P859" t="str">
        <f>_xlfn.XLOOKUP(Orders_table[[#This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_xlfn.IFS(J860="M","Midium",J860="L","Light",J860="D","Dark")</f>
        <v>Midium</v>
      </c>
      <c r="P860" t="str">
        <f>_xlfn.XLOOKUP(Orders_table[[#This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_xlfn.IFS(J861="M","Midium",J861="L","Light",J861="D","Dark")</f>
        <v>Light</v>
      </c>
      <c r="P861" t="str">
        <f>_xlfn.XLOOKUP(Orders_table[[#This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_xlfn.IFS(J862="M","Midium",J862="L","Light",J862="D","Dark")</f>
        <v>Midium</v>
      </c>
      <c r="P862" t="str">
        <f>_xlfn.XLOOKUP(Orders_table[[#This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_xlfn.IFS(J863="M","Midium",J863="L","Light",J863="D","Dark")</f>
        <v>Dark</v>
      </c>
      <c r="P863" t="str">
        <f>_xlfn.XLOOKUP(Orders_table[[#This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_xlfn.IFS(J864="M","Midium",J864="L","Light",J864="D","Dark")</f>
        <v>Midium</v>
      </c>
      <c r="P864" t="str">
        <f>_xlfn.XLOOKUP(Orders_table[[#This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_xlfn.IFS(J865="M","Midium",J865="L","Light",J865="D","Dark")</f>
        <v>Midium</v>
      </c>
      <c r="P865" t="str">
        <f>_xlfn.XLOOKUP(Orders_table[[#This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_xlfn.IFS(J866="M","Midium",J866="L","Light",J866="D","Dark")</f>
        <v>Light</v>
      </c>
      <c r="P866" t="str">
        <f>_xlfn.XLOOKUP(Orders_table[[#This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_xlfn.IFS(J867="M","Midium",J867="L","Light",J867="D","Dark")</f>
        <v>Midium</v>
      </c>
      <c r="P867" t="str">
        <f>_xlfn.XLOOKUP(Orders_table[[#This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_xlfn.IFS(J868="M","Midium",J868="L","Light",J868="D","Dark")</f>
        <v>Dark</v>
      </c>
      <c r="P868" t="str">
        <f>_xlfn.XLOOKUP(Orders_table[[#This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_xlfn.IFS(J869="M","Midium",J869="L","Light",J869="D","Dark")</f>
        <v>Light</v>
      </c>
      <c r="P869" t="str">
        <f>_xlfn.XLOOKUP(Orders_table[[#This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_xlfn.IFS(J870="M","Midium",J870="L","Light",J870="D","Dark")</f>
        <v>Midium</v>
      </c>
      <c r="P870" t="str">
        <f>_xlfn.XLOOKUP(Orders_table[[#This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_xlfn.IFS(J871="M","Midium",J871="L","Light",J871="D","Dark")</f>
        <v>Midium</v>
      </c>
      <c r="P871" t="str">
        <f>_xlfn.XLOOKUP(Orders_table[[#This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_xlfn.IFS(J872="M","Midium",J872="L","Light",J872="D","Dark")</f>
        <v>Dark</v>
      </c>
      <c r="P872" t="str">
        <f>_xlfn.XLOOKUP(Orders_table[[#This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_xlfn.IFS(J873="M","Midium",J873="L","Light",J873="D","Dark")</f>
        <v>Light</v>
      </c>
      <c r="P873" t="str">
        <f>_xlfn.XLOOKUP(Orders_table[[#This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_xlfn.IFS(J874="M","Midium",J874="L","Light",J874="D","Dark")</f>
        <v>Midium</v>
      </c>
      <c r="P874" t="str">
        <f>_xlfn.XLOOKUP(Orders_table[[#This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_xlfn.IFS(J875="M","Midium",J875="L","Light",J875="D","Dark")</f>
        <v>Midium</v>
      </c>
      <c r="P875" t="str">
        <f>_xlfn.XLOOKUP(Orders_table[[#This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_xlfn.IFS(J876="M","Midium",J876="L","Light",J876="D","Dark")</f>
        <v>Light</v>
      </c>
      <c r="P876" t="str">
        <f>_xlfn.XLOOKUP(Orders_table[[#This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_xlfn.IFS(J877="M","Midium",J877="L","Light",J877="D","Dark")</f>
        <v>Midium</v>
      </c>
      <c r="P877" t="str">
        <f>_xlfn.XLOOKUP(Orders_table[[#This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_xlfn.IFS(J878="M","Midium",J878="L","Light",J878="D","Dark")</f>
        <v>Light</v>
      </c>
      <c r="P878" t="str">
        <f>_xlfn.XLOOKUP(Orders_table[[#This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_xlfn.IFS(J879="M","Midium",J879="L","Light",J879="D","Dark")</f>
        <v>Light</v>
      </c>
      <c r="P879" t="str">
        <f>_xlfn.XLOOKUP(Orders_table[[#This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_xlfn.IFS(J880="M","Midium",J880="L","Light",J880="D","Dark")</f>
        <v>Light</v>
      </c>
      <c r="P880" t="str">
        <f>_xlfn.XLOOKUP(Orders_table[[#This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_xlfn.IFS(J881="M","Midium",J881="L","Light",J881="D","Dark")</f>
        <v>Dark</v>
      </c>
      <c r="P881" t="str">
        <f>_xlfn.XLOOKUP(Orders_table[[#This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_xlfn.IFS(J882="M","Midium",J882="L","Light",J882="D","Dark")</f>
        <v>Light</v>
      </c>
      <c r="P882" t="str">
        <f>_xlfn.XLOOKUP(Orders_table[[#This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_xlfn.IFS(J883="M","Midium",J883="L","Light",J883="D","Dark")</f>
        <v>Light</v>
      </c>
      <c r="P883" t="str">
        <f>_xlfn.XLOOKUP(Orders_table[[#This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_xlfn.IFS(J884="M","Midium",J884="L","Light",J884="D","Dark")</f>
        <v>Dark</v>
      </c>
      <c r="P884" t="str">
        <f>_xlfn.XLOOKUP(Orders_table[[#This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_xlfn.IFS(J885="M","Midium",J885="L","Light",J885="D","Dark")</f>
        <v>Midium</v>
      </c>
      <c r="P885" t="str">
        <f>_xlfn.XLOOKUP(Orders_table[[#This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_xlfn.IFS(J886="M","Midium",J886="L","Light",J886="D","Dark")</f>
        <v>Dark</v>
      </c>
      <c r="P886" t="str">
        <f>_xlfn.XLOOKUP(Orders_table[[#This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_xlfn.IFS(J887="M","Midium",J887="L","Light",J887="D","Dark")</f>
        <v>Dark</v>
      </c>
      <c r="P887" t="str">
        <f>_xlfn.XLOOKUP(Orders_table[[#This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_xlfn.IFS(J888="M","Midium",J888="L","Light",J888="D","Dark")</f>
        <v>Midium</v>
      </c>
      <c r="P888" t="str">
        <f>_xlfn.XLOOKUP(Orders_table[[#This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_xlfn.IFS(J889="M","Midium",J889="L","Light",J889="D","Dark")</f>
        <v>Light</v>
      </c>
      <c r="P889" t="str">
        <f>_xlfn.XLOOKUP(Orders_table[[#This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_xlfn.IFS(J890="M","Midium",J890="L","Light",J890="D","Dark")</f>
        <v>Light</v>
      </c>
      <c r="P890" t="str">
        <f>_xlfn.XLOOKUP(Orders_table[[#This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_xlfn.IFS(J891="M","Midium",J891="L","Light",J891="D","Dark")</f>
        <v>Dark</v>
      </c>
      <c r="P891" t="str">
        <f>_xlfn.XLOOKUP(Orders_table[[#This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_xlfn.IFS(J892="M","Midium",J892="L","Light",J892="D","Dark")</f>
        <v>Dark</v>
      </c>
      <c r="P892" t="str">
        <f>_xlfn.XLOOKUP(Orders_table[[#This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_xlfn.IFS(J893="M","Midium",J893="L","Light",J893="D","Dark")</f>
        <v>Dark</v>
      </c>
      <c r="P893" t="str">
        <f>_xlfn.XLOOKUP(Orders_table[[#This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_xlfn.IFS(J894="M","Midium",J894="L","Light",J894="D","Dark")</f>
        <v>Midium</v>
      </c>
      <c r="P894" t="str">
        <f>_xlfn.XLOOKUP(Orders_table[[#This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_xlfn.IFS(J895="M","Midium",J895="L","Light",J895="D","Dark")</f>
        <v>Light</v>
      </c>
      <c r="P895" t="str">
        <f>_xlfn.XLOOKUP(Orders_table[[#This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_xlfn.IFS(J896="M","Midium",J896="L","Light",J896="D","Dark")</f>
        <v>Dark</v>
      </c>
      <c r="P896" t="str">
        <f>_xlfn.XLOOKUP(Orders_table[[#This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_xlfn.IFS(J897="M","Midium",J897="L","Light",J897="D","Dark")</f>
        <v>Midium</v>
      </c>
      <c r="P897" t="str">
        <f>_xlfn.XLOOKUP(Orders_table[[#This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_xlfn.IFS(J898="M","Midium",J898="L","Light",J898="D","Dark")</f>
        <v>Dark</v>
      </c>
      <c r="P898" t="str">
        <f>_xlfn.XLOOKUP(Orders_table[[#This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_xlfn.IFS(J899="M","Midium",J899="L","Light",J899="D","Dark")</f>
        <v>Dark</v>
      </c>
      <c r="P899" t="str">
        <f>_xlfn.XLOOKUP(Orders_table[[#This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_xlfn.IFS(J900="M","Midium",J900="L","Light",J900="D","Dark")</f>
        <v>Light</v>
      </c>
      <c r="P900" t="str">
        <f>_xlfn.XLOOKUP(Orders_table[[#This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_xlfn.IFS(J901="M","Midium",J901="L","Light",J901="D","Dark")</f>
        <v>Midium</v>
      </c>
      <c r="P901" t="str">
        <f>_xlfn.XLOOKUP(Orders_table[[#This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_xlfn.IFS(J902="M","Midium",J902="L","Light",J902="D","Dark")</f>
        <v>Light</v>
      </c>
      <c r="P902" t="str">
        <f>_xlfn.XLOOKUP(Orders_table[[#This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_xlfn.IFS(J903="M","Midium",J903="L","Light",J903="D","Dark")</f>
        <v>Light</v>
      </c>
      <c r="P903" t="str">
        <f>_xlfn.XLOOKUP(Orders_table[[#This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_xlfn.IFS(J904="M","Midium",J904="L","Light",J904="D","Dark")</f>
        <v>Midium</v>
      </c>
      <c r="P904" t="str">
        <f>_xlfn.XLOOKUP(Orders_table[[#This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_xlfn.IFS(J905="M","Midium",J905="L","Light",J905="D","Dark")</f>
        <v>Midium</v>
      </c>
      <c r="P905" t="str">
        <f>_xlfn.XLOOKUP(Orders_table[[#This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_xlfn.IFS(J906="M","Midium",J906="L","Light",J906="D","Dark")</f>
        <v>Light</v>
      </c>
      <c r="P906" t="str">
        <f>_xlfn.XLOOKUP(Orders_table[[#This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_xlfn.IFS(J907="M","Midium",J907="L","Light",J907="D","Dark")</f>
        <v>Midium</v>
      </c>
      <c r="P907" t="str">
        <f>_xlfn.XLOOKUP(Orders_table[[#This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_xlfn.IFS(J908="M","Midium",J908="L","Light",J908="D","Dark")</f>
        <v>Midium</v>
      </c>
      <c r="P908" t="str">
        <f>_xlfn.XLOOKUP(Orders_table[[#This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_xlfn.IFS(J909="M","Midium",J909="L","Light",J909="D","Dark")</f>
        <v>Dark</v>
      </c>
      <c r="P909" t="str">
        <f>_xlfn.XLOOKUP(Orders_table[[#This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_xlfn.IFS(J910="M","Midium",J910="L","Light",J910="D","Dark")</f>
        <v>Light</v>
      </c>
      <c r="P910" t="str">
        <f>_xlfn.XLOOKUP(Orders_table[[#This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_xlfn.IFS(J911="M","Midium",J911="L","Light",J911="D","Dark")</f>
        <v>Light</v>
      </c>
      <c r="P911" t="str">
        <f>_xlfn.XLOOKUP(Orders_table[[#This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_xlfn.IFS(J912="M","Midium",J912="L","Light",J912="D","Dark")</f>
        <v>Dark</v>
      </c>
      <c r="P912" t="str">
        <f>_xlfn.XLOOKUP(Orders_table[[#This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_xlfn.IFS(J913="M","Midium",J913="L","Light",J913="D","Dark")</f>
        <v>Midium</v>
      </c>
      <c r="P913" t="str">
        <f>_xlfn.XLOOKUP(Orders_table[[#This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_xlfn.IFS(J914="M","Midium",J914="L","Light",J914="D","Dark")</f>
        <v>Midium</v>
      </c>
      <c r="P914" t="str">
        <f>_xlfn.XLOOKUP(Orders_table[[#This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_xlfn.IFS(J915="M","Midium",J915="L","Light",J915="D","Dark")</f>
        <v>Midium</v>
      </c>
      <c r="P915" t="str">
        <f>_xlfn.XLOOKUP(Orders_table[[#This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_xlfn.IFS(J916="M","Midium",J916="L","Light",J916="D","Dark")</f>
        <v>Midium</v>
      </c>
      <c r="P916" t="str">
        <f>_xlfn.XLOOKUP(Orders_table[[#This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_xlfn.IFS(J917="M","Midium",J917="L","Light",J917="D","Dark")</f>
        <v>Dark</v>
      </c>
      <c r="P917" t="str">
        <f>_xlfn.XLOOKUP(Orders_table[[#This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_xlfn.IFS(J918="M","Midium",J918="L","Light",J918="D","Dark")</f>
        <v>Dark</v>
      </c>
      <c r="P918" t="str">
        <f>_xlfn.XLOOKUP(Orders_table[[#This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_xlfn.IFS(J919="M","Midium",J919="L","Light",J919="D","Dark")</f>
        <v>Midium</v>
      </c>
      <c r="P919" t="str">
        <f>_xlfn.XLOOKUP(Orders_table[[#This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_xlfn.IFS(J920="M","Midium",J920="L","Light",J920="D","Dark")</f>
        <v>Dark</v>
      </c>
      <c r="P920" t="str">
        <f>_xlfn.XLOOKUP(Orders_table[[#This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_xlfn.IFS(J921="M","Midium",J921="L","Light",J921="D","Dark")</f>
        <v>Dark</v>
      </c>
      <c r="P921" t="str">
        <f>_xlfn.XLOOKUP(Orders_table[[#This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_xlfn.IFS(J922="M","Midium",J922="L","Light",J922="D","Dark")</f>
        <v>Dark</v>
      </c>
      <c r="P922" t="str">
        <f>_xlfn.XLOOKUP(Orders_table[[#This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_xlfn.IFS(J923="M","Midium",J923="L","Light",J923="D","Dark")</f>
        <v>Dark</v>
      </c>
      <c r="P923" t="str">
        <f>_xlfn.XLOOKUP(Orders_table[[#This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_xlfn.IFS(J924="M","Midium",J924="L","Light",J924="D","Dark")</f>
        <v>Midium</v>
      </c>
      <c r="P924" t="str">
        <f>_xlfn.XLOOKUP(Orders_table[[#This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_xlfn.IFS(J925="M","Midium",J925="L","Light",J925="D","Dark")</f>
        <v>Dark</v>
      </c>
      <c r="P925" t="str">
        <f>_xlfn.XLOOKUP(Orders_table[[#This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_xlfn.IFS(J926="M","Midium",J926="L","Light",J926="D","Dark")</f>
        <v>Light</v>
      </c>
      <c r="P926" t="str">
        <f>_xlfn.XLOOKUP(Orders_table[[#This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_xlfn.IFS(J927="M","Midium",J927="L","Light",J927="D","Dark")</f>
        <v>Midium</v>
      </c>
      <c r="P927" t="str">
        <f>_xlfn.XLOOKUP(Orders_table[[#This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_xlfn.IFS(J928="M","Midium",J928="L","Light",J928="D","Dark")</f>
        <v>Midium</v>
      </c>
      <c r="P928" t="str">
        <f>_xlfn.XLOOKUP(Orders_table[[#This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_xlfn.IFS(J929="M","Midium",J929="L","Light",J929="D","Dark")</f>
        <v>Dark</v>
      </c>
      <c r="P929" t="str">
        <f>_xlfn.XLOOKUP(Orders_table[[#This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_xlfn.IFS(J930="M","Midium",J930="L","Light",J930="D","Dark")</f>
        <v>Midium</v>
      </c>
      <c r="P930" t="str">
        <f>_xlfn.XLOOKUP(Orders_table[[#This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_xlfn.IFS(J931="M","Midium",J931="L","Light",J931="D","Dark")</f>
        <v>Light</v>
      </c>
      <c r="P931" t="str">
        <f>_xlfn.XLOOKUP(Orders_table[[#This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_xlfn.IFS(J932="M","Midium",J932="L","Light",J932="D","Dark")</f>
        <v>Dark</v>
      </c>
      <c r="P932" t="str">
        <f>_xlfn.XLOOKUP(Orders_table[[#This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_xlfn.IFS(J933="M","Midium",J933="L","Light",J933="D","Dark")</f>
        <v>Dark</v>
      </c>
      <c r="P933" t="str">
        <f>_xlfn.XLOOKUP(Orders_table[[#This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_xlfn.IFS(J934="M","Midium",J934="L","Light",J934="D","Dark")</f>
        <v>Midium</v>
      </c>
      <c r="P934" t="str">
        <f>_xlfn.XLOOKUP(Orders_table[[#This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_xlfn.IFS(J935="M","Midium",J935="L","Light",J935="D","Dark")</f>
        <v>Dark</v>
      </c>
      <c r="P935" t="str">
        <f>_xlfn.XLOOKUP(Orders_table[[#This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_xlfn.IFS(J936="M","Midium",J936="L","Light",J936="D","Dark")</f>
        <v>Midium</v>
      </c>
      <c r="P936" t="str">
        <f>_xlfn.XLOOKUP(Orders_table[[#This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_xlfn.IFS(J937="M","Midium",J937="L","Light",J937="D","Dark")</f>
        <v>Midium</v>
      </c>
      <c r="P937" t="str">
        <f>_xlfn.XLOOKUP(Orders_table[[#This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_xlfn.IFS(J938="M","Midium",J938="L","Light",J938="D","Dark")</f>
        <v>Dark</v>
      </c>
      <c r="P938" t="str">
        <f>_xlfn.XLOOKUP(Orders_table[[#This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_xlfn.IFS(J939="M","Midium",J939="L","Light",J939="D","Dark")</f>
        <v>Midium</v>
      </c>
      <c r="P939" t="str">
        <f>_xlfn.XLOOKUP(Orders_table[[#This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_xlfn.IFS(J940="M","Midium",J940="L","Light",J940="D","Dark")</f>
        <v>Light</v>
      </c>
      <c r="P940" t="str">
        <f>_xlfn.XLOOKUP(Orders_table[[#This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_xlfn.IFS(J941="M","Midium",J941="L","Light",J941="D","Dark")</f>
        <v>Light</v>
      </c>
      <c r="P941" t="str">
        <f>_xlfn.XLOOKUP(Orders_table[[#This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_xlfn.IFS(J942="M","Midium",J942="L","Light",J942="D","Dark")</f>
        <v>Light</v>
      </c>
      <c r="P942" t="str">
        <f>_xlfn.XLOOKUP(Orders_table[[#This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_xlfn.IFS(J943="M","Midium",J943="L","Light",J943="D","Dark")</f>
        <v>Light</v>
      </c>
      <c r="P943" t="str">
        <f>_xlfn.XLOOKUP(Orders_table[[#This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_xlfn.IFS(J944="M","Midium",J944="L","Light",J944="D","Dark")</f>
        <v>Light</v>
      </c>
      <c r="P944" t="str">
        <f>_xlfn.XLOOKUP(Orders_table[[#This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_xlfn.IFS(J945="M","Midium",J945="L","Light",J945="D","Dark")</f>
        <v>Light</v>
      </c>
      <c r="P945" t="str">
        <f>_xlfn.XLOOKUP(Orders_table[[#This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_xlfn.IFS(J946="M","Midium",J946="L","Light",J946="D","Dark")</f>
        <v>Light</v>
      </c>
      <c r="P946" t="str">
        <f>_xlfn.XLOOKUP(Orders_table[[#This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_xlfn.IFS(J947="M","Midium",J947="L","Light",J947="D","Dark")</f>
        <v>Dark</v>
      </c>
      <c r="P947" t="str">
        <f>_xlfn.XLOOKUP(Orders_table[[#This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_xlfn.IFS(J948="M","Midium",J948="L","Light",J948="D","Dark")</f>
        <v>Dark</v>
      </c>
      <c r="P948" t="str">
        <f>_xlfn.XLOOKUP(Orders_table[[#This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_xlfn.IFS(J949="M","Midium",J949="L","Light",J949="D","Dark")</f>
        <v>Midium</v>
      </c>
      <c r="P949" t="str">
        <f>_xlfn.XLOOKUP(Orders_table[[#This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_xlfn.IFS(J950="M","Midium",J950="L","Light",J950="D","Dark")</f>
        <v>Dark</v>
      </c>
      <c r="P950" t="str">
        <f>_xlfn.XLOOKUP(Orders_table[[#This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_xlfn.IFS(J951="M","Midium",J951="L","Light",J951="D","Dark")</f>
        <v>Light</v>
      </c>
      <c r="P951" t="str">
        <f>_xlfn.XLOOKUP(Orders_table[[#This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_xlfn.IFS(J952="M","Midium",J952="L","Light",J952="D","Dark")</f>
        <v>Light</v>
      </c>
      <c r="P952" t="str">
        <f>_xlfn.XLOOKUP(Orders_table[[#This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_xlfn.IFS(J953="M","Midium",J953="L","Light",J953="D","Dark")</f>
        <v>Light</v>
      </c>
      <c r="P953" t="str">
        <f>_xlfn.XLOOKUP(Orders_table[[#This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_xlfn.IFS(J954="M","Midium",J954="L","Light",J954="D","Dark")</f>
        <v>Midium</v>
      </c>
      <c r="P954" t="str">
        <f>_xlfn.XLOOKUP(Orders_table[[#This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_xlfn.IFS(J955="M","Midium",J955="L","Light",J955="D","Dark")</f>
        <v>Light</v>
      </c>
      <c r="P955" t="str">
        <f>_xlfn.XLOOKUP(Orders_table[[#This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_xlfn.IFS(J956="M","Midium",J956="L","Light",J956="D","Dark")</f>
        <v>Dark</v>
      </c>
      <c r="P956" t="str">
        <f>_xlfn.XLOOKUP(Orders_table[[#This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_xlfn.IFS(J957="M","Midium",J957="L","Light",J957="D","Dark")</f>
        <v>Light</v>
      </c>
      <c r="P957" t="str">
        <f>_xlfn.XLOOKUP(Orders_table[[#This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_xlfn.IFS(J958="M","Midium",J958="L","Light",J958="D","Dark")</f>
        <v>Light</v>
      </c>
      <c r="P958" t="str">
        <f>_xlfn.XLOOKUP(Orders_table[[#This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_xlfn.IFS(J959="M","Midium",J959="L","Light",J959="D","Dark")</f>
        <v>Light</v>
      </c>
      <c r="P959" t="str">
        <f>_xlfn.XLOOKUP(Orders_table[[#This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_xlfn.IFS(J960="M","Midium",J960="L","Light",J960="D","Dark")</f>
        <v>Light</v>
      </c>
      <c r="P960" t="str">
        <f>_xlfn.XLOOKUP(Orders_table[[#This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_xlfn.IFS(J961="M","Midium",J961="L","Light",J961="D","Dark")</f>
        <v>Light</v>
      </c>
      <c r="P961" t="str">
        <f>_xlfn.XLOOKUP(Orders_table[[#This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_xlfn.IFS(J962="M","Midium",J962="L","Light",J962="D","Dark")</f>
        <v>Light</v>
      </c>
      <c r="P962" t="str">
        <f>_xlfn.XLOOKUP(Orders_table[[#This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_xlfn.IFS(J963="M","Midium",J963="L","Light",J963="D","Dark")</f>
        <v>Dark</v>
      </c>
      <c r="P963" t="str">
        <f>_xlfn.XLOOKUP(Orders_table[[#This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_xlfn.IFS(J964="M","Midium",J964="L","Light",J964="D","Dark")</f>
        <v>Dark</v>
      </c>
      <c r="P964" t="str">
        <f>_xlfn.XLOOKUP(Orders_table[[#This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_xlfn.IFS(J965="M","Midium",J965="L","Light",J965="D","Dark")</f>
        <v>Midium</v>
      </c>
      <c r="P965" t="str">
        <f>_xlfn.XLOOKUP(Orders_table[[#This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_xlfn.IFS(J966="M","Midium",J966="L","Light",J966="D","Dark")</f>
        <v>Light</v>
      </c>
      <c r="P966" t="str">
        <f>_xlfn.XLOOKUP(Orders_table[[#This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_xlfn.IFS(J967="M","Midium",J967="L","Light",J967="D","Dark")</f>
        <v>Midium</v>
      </c>
      <c r="P967" t="str">
        <f>_xlfn.XLOOKUP(Orders_table[[#This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_xlfn.IFS(J968="M","Midium",J968="L","Light",J968="D","Dark")</f>
        <v>Light</v>
      </c>
      <c r="P968" t="str">
        <f>_xlfn.XLOOKUP(Orders_table[[#This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_xlfn.IFS(J969="M","Midium",J969="L","Light",J969="D","Dark")</f>
        <v>Dark</v>
      </c>
      <c r="P969" t="str">
        <f>_xlfn.XLOOKUP(Orders_table[[#This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_xlfn.IFS(J970="M","Midium",J970="L","Light",J970="D","Dark")</f>
        <v>Midium</v>
      </c>
      <c r="P970" t="str">
        <f>_xlfn.XLOOKUP(Orders_table[[#This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_xlfn.IFS(J971="M","Midium",J971="L","Light",J971="D","Dark")</f>
        <v>Dark</v>
      </c>
      <c r="P971" t="str">
        <f>_xlfn.XLOOKUP(Orders_table[[#This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_xlfn.IFS(J972="M","Midium",J972="L","Light",J972="D","Dark")</f>
        <v>Midium</v>
      </c>
      <c r="P972" t="str">
        <f>_xlfn.XLOOKUP(Orders_table[[#This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_xlfn.IFS(J973="M","Midium",J973="L","Light",J973="D","Dark")</f>
        <v>Light</v>
      </c>
      <c r="P973" t="str">
        <f>_xlfn.XLOOKUP(Orders_table[[#This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_xlfn.IFS(J974="M","Midium",J974="L","Light",J974="D","Dark")</f>
        <v>Light</v>
      </c>
      <c r="P974" t="str">
        <f>_xlfn.XLOOKUP(Orders_table[[#This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_xlfn.IFS(J975="M","Midium",J975="L","Light",J975="D","Dark")</f>
        <v>Midium</v>
      </c>
      <c r="P975" t="str">
        <f>_xlfn.XLOOKUP(Orders_table[[#This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_xlfn.IFS(J976="M","Midium",J976="L","Light",J976="D","Dark")</f>
        <v>Dark</v>
      </c>
      <c r="P976" t="str">
        <f>_xlfn.XLOOKUP(Orders_table[[#This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_xlfn.IFS(J977="M","Midium",J977="L","Light",J977="D","Dark")</f>
        <v>Dark</v>
      </c>
      <c r="P977" t="str">
        <f>_xlfn.XLOOKUP(Orders_table[[#This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_xlfn.IFS(J978="M","Midium",J978="L","Light",J978="D","Dark")</f>
        <v>Light</v>
      </c>
      <c r="P978" t="str">
        <f>_xlfn.XLOOKUP(Orders_table[[#This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_xlfn.IFS(J979="M","Midium",J979="L","Light",J979="D","Dark")</f>
        <v>Light</v>
      </c>
      <c r="P979" t="str">
        <f>_xlfn.XLOOKUP(Orders_table[[#This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_xlfn.IFS(J980="M","Midium",J980="L","Light",J980="D","Dark")</f>
        <v>Light</v>
      </c>
      <c r="P980" t="str">
        <f>_xlfn.XLOOKUP(Orders_table[[#This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_xlfn.IFS(J981="M","Midium",J981="L","Light",J981="D","Dark")</f>
        <v>Dark</v>
      </c>
      <c r="P981" t="str">
        <f>_xlfn.XLOOKUP(Orders_table[[#This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_xlfn.IFS(J982="M","Midium",J982="L","Light",J982="D","Dark")</f>
        <v>Dark</v>
      </c>
      <c r="P982" t="str">
        <f>_xlfn.XLOOKUP(Orders_table[[#This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_xlfn.IFS(J983="M","Midium",J983="L","Light",J983="D","Dark")</f>
        <v>Dark</v>
      </c>
      <c r="P983" t="str">
        <f>_xlfn.XLOOKUP(Orders_table[[#This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_xlfn.IFS(J984="M","Midium",J984="L","Light",J984="D","Dark")</f>
        <v>Light</v>
      </c>
      <c r="P984" t="str">
        <f>_xlfn.XLOOKUP(Orders_table[[#This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_xlfn.IFS(J985="M","Midium",J985="L","Light",J985="D","Dark")</f>
        <v>Midium</v>
      </c>
      <c r="P985" t="str">
        <f>_xlfn.XLOOKUP(Orders_table[[#This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_xlfn.IFS(J986="M","Midium",J986="L","Light",J986="D","Dark")</f>
        <v>Midium</v>
      </c>
      <c r="P986" t="str">
        <f>_xlfn.XLOOKUP(Orders_table[[#This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_xlfn.IFS(J987="M","Midium",J987="L","Light",J987="D","Dark")</f>
        <v>Light</v>
      </c>
      <c r="P987" t="str">
        <f>_xlfn.XLOOKUP(Orders_table[[#This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_xlfn.IFS(J988="M","Midium",J988="L","Light",J988="D","Dark")</f>
        <v>Midium</v>
      </c>
      <c r="P988" t="str">
        <f>_xlfn.XLOOKUP(Orders_table[[#This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_xlfn.IFS(J989="M","Midium",J989="L","Light",J989="D","Dark")</f>
        <v>Dark</v>
      </c>
      <c r="P989" t="str">
        <f>_xlfn.XLOOKUP(Orders_table[[#This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_xlfn.IFS(J990="M","Midium",J990="L","Light",J990="D","Dark")</f>
        <v>Midium</v>
      </c>
      <c r="P990" t="str">
        <f>_xlfn.XLOOKUP(Orders_table[[#This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_xlfn.IFS(J991="M","Midium",J991="L","Light",J991="D","Dark")</f>
        <v>Midium</v>
      </c>
      <c r="P991" t="str">
        <f>_xlfn.XLOOKUP(Orders_table[[#This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_xlfn.IFS(J992="M","Midium",J992="L","Light",J992="D","Dark")</f>
        <v>Dark</v>
      </c>
      <c r="P992" t="str">
        <f>_xlfn.XLOOKUP(Orders_table[[#This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_xlfn.IFS(J993="M","Midium",J993="L","Light",J993="D","Dark")</f>
        <v>Dark</v>
      </c>
      <c r="P993" t="str">
        <f>_xlfn.XLOOKUP(Orders_table[[#This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_xlfn.IFS(J994="M","Midium",J994="L","Light",J994="D","Dark")</f>
        <v>Light</v>
      </c>
      <c r="P994" t="str">
        <f>_xlfn.XLOOKUP(Orders_table[[#This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_xlfn.IFS(J995="M","Midium",J995="L","Light",J995="D","Dark")</f>
        <v>Light</v>
      </c>
      <c r="P995" t="str">
        <f>_xlfn.XLOOKUP(Orders_table[[#This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_xlfn.IFS(J996="M","Midium",J996="L","Light",J996="D","Dark")</f>
        <v>Dark</v>
      </c>
      <c r="P996" t="str">
        <f>_xlfn.XLOOKUP(Orders_table[[#This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_xlfn.IFS(J997="M","Midium",J997="L","Light",J997="D","Dark")</f>
        <v>Light</v>
      </c>
      <c r="P997" t="str">
        <f>_xlfn.XLOOKUP(Orders_table[[#This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_xlfn.IFS(J998="M","Midium",J998="L","Light",J998="D","Dark")</f>
        <v>Midium</v>
      </c>
      <c r="P998" t="str">
        <f>_xlfn.XLOOKUP(Orders_table[[#This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_xlfn.IFS(J999="M","Midium",J999="L","Light",J999="D","Dark")</f>
        <v>Midium</v>
      </c>
      <c r="P999" t="str">
        <f>_xlfn.XLOOKUP(Orders_table[[#This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_xlfn.IFS(J1000="M","Midium",J1000="L","Light",J1000="D","Dark")</f>
        <v>Dark</v>
      </c>
      <c r="P1000" t="str">
        <f>_xlfn.XLOOKUP(Orders_table[[#This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_xlfn.IFS(J1001="M","Midium",J1001="L","Light",J1001="D","Dark")</f>
        <v>Midium</v>
      </c>
      <c r="P1001" t="str">
        <f>_xlfn.XLOOKUP(Orders_table[[#This Row],[Customer ID]],customers!$A$1:$A$1001,customers!$I$1:$I$1001,,0)</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23" workbookViewId="0">
      <selection activeCell="A6" sqref="A6"/>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37" workbookViewId="0">
      <selection activeCell="G2" sqref="G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F4D5-627A-468C-B268-4E9B9B068C7A}">
  <dimension ref="A1:N57"/>
  <sheetViews>
    <sheetView topLeftCell="D1" workbookViewId="0">
      <selection activeCell="M3" sqref="M3"/>
    </sheetView>
  </sheetViews>
  <sheetFormatPr defaultRowHeight="14.5" x14ac:dyDescent="0.35"/>
  <cols>
    <col min="1" max="1" width="12.36328125" bestFit="1" customWidth="1"/>
    <col min="2" max="2" width="11.26953125" bestFit="1" customWidth="1"/>
    <col min="4" max="4" width="15.6328125" bestFit="1" customWidth="1"/>
    <col min="13" max="13" width="11.26953125" bestFit="1" customWidth="1"/>
    <col min="14" max="14" width="15.81640625" bestFit="1" customWidth="1"/>
    <col min="15" max="15" width="11.26953125" bestFit="1" customWidth="1"/>
  </cols>
  <sheetData>
    <row r="1" spans="1:14" x14ac:dyDescent="0.35">
      <c r="A1" s="6" t="s">
        <v>6198</v>
      </c>
      <c r="B1" t="s">
        <v>6207</v>
      </c>
      <c r="M1" t="s">
        <v>6207</v>
      </c>
      <c r="N1" t="s">
        <v>6208</v>
      </c>
    </row>
    <row r="2" spans="1:14" x14ac:dyDescent="0.35">
      <c r="A2" s="7" t="s">
        <v>6206</v>
      </c>
      <c r="B2" s="8">
        <v>9005.2450000000099</v>
      </c>
      <c r="M2" s="8">
        <v>45134.254999999997</v>
      </c>
      <c r="N2" s="9">
        <v>1000</v>
      </c>
    </row>
    <row r="3" spans="1:14" x14ac:dyDescent="0.35">
      <c r="A3" s="7" t="s">
        <v>6203</v>
      </c>
      <c r="B3" s="8">
        <v>11768.494999999997</v>
      </c>
    </row>
    <row r="4" spans="1:14" x14ac:dyDescent="0.35">
      <c r="A4" s="7" t="s">
        <v>6205</v>
      </c>
      <c r="B4" s="8">
        <v>12054.074999999995</v>
      </c>
      <c r="M4" s="10">
        <f>GETPIVOTDATA("Sales",$M$1)</f>
        <v>45134.254999999997</v>
      </c>
      <c r="N4">
        <f>GETPIVOTDATA("Order ID",$N$1)</f>
        <v>1000</v>
      </c>
    </row>
    <row r="5" spans="1:14" x14ac:dyDescent="0.35">
      <c r="A5" s="7" t="s">
        <v>6204</v>
      </c>
      <c r="B5" s="8">
        <v>12306.439999999995</v>
      </c>
    </row>
    <row r="20" spans="1:2" x14ac:dyDescent="0.35">
      <c r="A20" s="6" t="s">
        <v>6198</v>
      </c>
      <c r="B20" t="s">
        <v>6207</v>
      </c>
    </row>
    <row r="21" spans="1:2" x14ac:dyDescent="0.35">
      <c r="A21" s="7" t="s">
        <v>28</v>
      </c>
      <c r="B21" s="8">
        <v>2798.5050000000001</v>
      </c>
    </row>
    <row r="22" spans="1:2" x14ac:dyDescent="0.35">
      <c r="A22" s="7" t="s">
        <v>318</v>
      </c>
      <c r="B22" s="8">
        <v>6696.8649999999989</v>
      </c>
    </row>
    <row r="23" spans="1:2" x14ac:dyDescent="0.35">
      <c r="A23" s="7" t="s">
        <v>19</v>
      </c>
      <c r="B23" s="8">
        <v>35638.88499999998</v>
      </c>
    </row>
    <row r="36" spans="1:5" x14ac:dyDescent="0.35">
      <c r="A36" s="6" t="s">
        <v>6198</v>
      </c>
      <c r="B36" t="s">
        <v>6207</v>
      </c>
    </row>
    <row r="37" spans="1:5" x14ac:dyDescent="0.35">
      <c r="A37" s="7" t="s">
        <v>3753</v>
      </c>
      <c r="B37" s="8">
        <v>278.01</v>
      </c>
      <c r="E37" s="8"/>
    </row>
    <row r="38" spans="1:5" x14ac:dyDescent="0.35">
      <c r="A38" s="7" t="s">
        <v>1598</v>
      </c>
      <c r="B38" s="8">
        <v>281.67499999999995</v>
      </c>
      <c r="E38" s="8"/>
    </row>
    <row r="39" spans="1:5" x14ac:dyDescent="0.35">
      <c r="A39" s="7" t="s">
        <v>2587</v>
      </c>
      <c r="B39" s="8">
        <v>289.11</v>
      </c>
      <c r="E39" s="8"/>
    </row>
    <row r="40" spans="1:5" x14ac:dyDescent="0.35">
      <c r="A40" s="7" t="s">
        <v>5765</v>
      </c>
      <c r="B40" s="8">
        <v>307.04499999999996</v>
      </c>
      <c r="E40" s="8"/>
    </row>
    <row r="41" spans="1:5" x14ac:dyDescent="0.35">
      <c r="A41" s="7" t="s">
        <v>5114</v>
      </c>
      <c r="B41" s="8">
        <v>317.06999999999994</v>
      </c>
      <c r="E41" s="8"/>
    </row>
    <row r="53" spans="1:2" x14ac:dyDescent="0.35">
      <c r="A53" s="6" t="s">
        <v>6198</v>
      </c>
      <c r="B53" t="s">
        <v>6207</v>
      </c>
    </row>
    <row r="54" spans="1:2" x14ac:dyDescent="0.35">
      <c r="A54" s="7" t="s">
        <v>6199</v>
      </c>
      <c r="B54" s="8">
        <v>12187.165000000001</v>
      </c>
    </row>
    <row r="55" spans="1:2" x14ac:dyDescent="0.35">
      <c r="A55" s="7" t="s">
        <v>6200</v>
      </c>
      <c r="B55" s="8">
        <v>12117.545</v>
      </c>
    </row>
    <row r="56" spans="1:2" x14ac:dyDescent="0.35">
      <c r="A56" s="7" t="s">
        <v>6201</v>
      </c>
      <c r="B56" s="8">
        <v>13766.109999999999</v>
      </c>
    </row>
    <row r="57" spans="1:2" x14ac:dyDescent="0.35">
      <c r="A57" s="7" t="s">
        <v>6202</v>
      </c>
      <c r="B57" s="8">
        <v>7063.435000000004</v>
      </c>
    </row>
  </sheetData>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9724-13D2-459D-9C84-50AB5297FE8D}">
  <sheetPr>
    <tabColor theme="5" tint="-0.499984740745262"/>
  </sheetPr>
  <dimension ref="A1"/>
  <sheetViews>
    <sheetView showGridLines="0" tabSelected="1" zoomScale="69" workbookViewId="0">
      <selection activeCell="S9" sqref="S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Analysis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Anusha U</cp:lastModifiedBy>
  <cp:revision/>
  <dcterms:created xsi:type="dcterms:W3CDTF">2022-11-26T09:51:45Z</dcterms:created>
  <dcterms:modified xsi:type="dcterms:W3CDTF">2026-01-31T06:33:06Z</dcterms:modified>
  <cp:category/>
  <cp:contentStatus/>
</cp:coreProperties>
</file>